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12836D4F-792D-4F96-A62E-E4D01AEF2903}" xr6:coauthVersionLast="47" xr6:coauthVersionMax="47" xr10:uidLastSave="{00000000-0000-0000-0000-000000000000}"/>
  <bookViews>
    <workbookView xWindow="-120" yWindow="-120" windowWidth="20730" windowHeight="11040" xr2:uid="{26D4546B-D2A1-4444-8EAF-A6228F96F0C1}"/>
  </bookViews>
  <sheets>
    <sheet name="Dashboard" sheetId="6" r:id="rId1"/>
    <sheet name="pivots" sheetId="9" state="hidden" r:id="rId2"/>
    <sheet name="Data" sheetId="2" r:id="rId3"/>
    <sheet name="Assets" sheetId="4" state="hidden" r:id="rId4"/>
  </sheets>
  <definedNames>
    <definedName name="_xlnm._FilterDatabase" localSheetId="2" hidden="1">Data!$B$3:$H$1003</definedName>
    <definedName name="_xlcn.WorksheetConnection_sampledataexcelportfolioproject.xlsxcalls1" hidden="1">calls[]</definedName>
    <definedName name="_xlcn.WorksheetConnection_sampledataexcelportfolioproject.xlsxcustomers1" hidden="1">customers[]</definedName>
    <definedName name="Slicer_Representative">#N/A</definedName>
  </definedNames>
  <calcPr calcId="191029"/>
  <pivotCaches>
    <pivotCache cacheId="1355" r:id="rId5"/>
    <pivotCache cacheId="1361" r:id="rId6"/>
    <pivotCache cacheId="1493" r:id="rId7"/>
    <pivotCache cacheId="1964" r:id="rId8"/>
    <pivotCache cacheId="2057" r:id="rId9"/>
    <pivotCache cacheId="2060" r:id="rId10"/>
    <pivotCache cacheId="2063" r:id="rId11"/>
    <pivotCache cacheId="2066" r:id="rId12"/>
    <pivotCache cacheId="2069" r:id="rId13"/>
  </pivotCaches>
  <extLst>
    <ext xmlns:x14="http://schemas.microsoft.com/office/spreadsheetml/2009/9/main" uri="{876F7934-8845-4945-9796-88D515C7AA90}">
      <x14:pivotCaches>
        <pivotCache cacheId="27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sample-data-excel-portfolio-project.xlsx!calls"/>
          <x15:modelTable id="customers" name="customers" connection="WorksheetConnection_sample-data-excel-portfolio-project.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S19" i="6" l="1"/>
  <c r="T19" i="6"/>
  <c r="U19" i="6"/>
  <c r="V19" i="6"/>
  <c r="W19" i="6"/>
  <c r="X19" i="6"/>
  <c r="Y19" i="6"/>
  <c r="S20" i="6"/>
  <c r="T20" i="6"/>
  <c r="U20" i="6"/>
  <c r="V20" i="6"/>
  <c r="W20" i="6"/>
  <c r="X20" i="6"/>
  <c r="Y20" i="6"/>
  <c r="S21" i="6"/>
  <c r="T21" i="6"/>
  <c r="U21" i="6"/>
  <c r="V21" i="6"/>
  <c r="W21" i="6"/>
  <c r="X21" i="6"/>
  <c r="Y21" i="6"/>
  <c r="S22" i="6"/>
  <c r="T22" i="6"/>
  <c r="U22" i="6"/>
  <c r="V22" i="6"/>
  <c r="W22" i="6"/>
  <c r="X22" i="6"/>
  <c r="Y22" i="6"/>
  <c r="S23" i="6"/>
  <c r="T23" i="6"/>
  <c r="U23" i="6"/>
  <c r="V23" i="6"/>
  <c r="W23" i="6"/>
  <c r="X23" i="6"/>
  <c r="Y23" i="6"/>
  <c r="S24" i="6"/>
  <c r="T24" i="6"/>
  <c r="U24" i="6"/>
  <c r="V24" i="6"/>
  <c r="W24" i="6"/>
  <c r="X24" i="6"/>
  <c r="Y24" i="6"/>
  <c r="S25" i="6"/>
  <c r="T25" i="6"/>
  <c r="U25" i="6"/>
  <c r="V25" i="6"/>
  <c r="W25" i="6"/>
  <c r="X25" i="6"/>
  <c r="Y25" i="6"/>
  <c r="S26" i="6"/>
  <c r="T26" i="6"/>
  <c r="U26" i="6"/>
  <c r="V26" i="6"/>
  <c r="W26" i="6"/>
  <c r="X26" i="6"/>
  <c r="Y26" i="6"/>
  <c r="S27" i="6"/>
  <c r="T27" i="6"/>
  <c r="U27" i="6"/>
  <c r="V27" i="6"/>
  <c r="W27" i="6"/>
  <c r="X27" i="6"/>
  <c r="Y27" i="6"/>
  <c r="S28" i="6"/>
  <c r="T28" i="6"/>
  <c r="U28" i="6"/>
  <c r="V28" i="6"/>
  <c r="W28" i="6"/>
  <c r="X28" i="6"/>
  <c r="Y28" i="6"/>
  <c r="S29" i="6"/>
  <c r="T29" i="6"/>
  <c r="U29" i="6"/>
  <c r="V29" i="6"/>
  <c r="W29" i="6"/>
  <c r="X29" i="6"/>
  <c r="Y29" i="6"/>
  <c r="S30" i="6"/>
  <c r="T30" i="6"/>
  <c r="U30" i="6"/>
  <c r="V30" i="6"/>
  <c r="W30" i="6"/>
  <c r="X30" i="6"/>
  <c r="Y30" i="6"/>
  <c r="S31" i="6"/>
  <c r="T31" i="6"/>
  <c r="U31" i="6"/>
  <c r="V31" i="6"/>
  <c r="W31" i="6"/>
  <c r="X31" i="6"/>
  <c r="Y31" i="6"/>
  <c r="S32" i="6"/>
  <c r="T32" i="6"/>
  <c r="U32" i="6"/>
  <c r="V32" i="6"/>
  <c r="W32" i="6"/>
  <c r="X32" i="6"/>
  <c r="Y32" i="6"/>
  <c r="S33" i="6"/>
  <c r="T33" i="6"/>
  <c r="U33" i="6"/>
  <c r="V33" i="6"/>
  <c r="W33" i="6"/>
  <c r="X33" i="6"/>
  <c r="Y33" i="6"/>
  <c r="S34" i="6"/>
  <c r="T34" i="6"/>
  <c r="U34" i="6"/>
  <c r="V34" i="6"/>
  <c r="W34" i="6"/>
  <c r="X34" i="6"/>
  <c r="Y34" i="6"/>
  <c r="S35" i="6"/>
  <c r="T35" i="6"/>
  <c r="U35" i="6"/>
  <c r="V35" i="6"/>
  <c r="W35" i="6"/>
  <c r="X35" i="6"/>
  <c r="Y35" i="6"/>
  <c r="S36" i="6"/>
  <c r="T36" i="6"/>
  <c r="U36" i="6"/>
  <c r="V36" i="6"/>
  <c r="W36" i="6"/>
  <c r="X36" i="6"/>
  <c r="Y36" i="6"/>
  <c r="T18" i="6"/>
  <c r="U18" i="6"/>
  <c r="V18" i="6"/>
  <c r="W18" i="6"/>
  <c r="X18" i="6"/>
  <c r="Y18" i="6"/>
  <c r="S18" i="6"/>
  <c r="U17" i="6"/>
  <c r="V17" i="6"/>
  <c r="W17" i="6"/>
  <c r="X17" i="6"/>
  <c r="T17" i="6"/>
  <c r="H42" i="9"/>
  <c r="I47" i="9" s="1"/>
  <c r="E44" i="9"/>
  <c r="F44" i="9"/>
  <c r="G44" i="9"/>
  <c r="E45" i="9"/>
  <c r="F45" i="9"/>
  <c r="G45" i="9"/>
  <c r="E46" i="9"/>
  <c r="F46" i="9"/>
  <c r="G46" i="9"/>
  <c r="E47" i="9"/>
  <c r="F47" i="9"/>
  <c r="G47" i="9"/>
  <c r="F43" i="9"/>
  <c r="G43" i="9"/>
  <c r="E43" i="9"/>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46" i="9" l="1"/>
  <c r="H45" i="9"/>
  <c r="H44" i="9"/>
  <c r="I43" i="9"/>
  <c r="I44" i="9"/>
  <c r="I45" i="9"/>
  <c r="H43" i="9"/>
  <c r="I46" i="9"/>
  <c r="H4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E17D19-BF87-4C46-892A-C46098E6CBAD}"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D8C5161-B656-4476-92D6-E97116AE770F}" name="WorksheetConnection_sample-data-excel-portfolio-project.xlsx!calls" type="102" refreshedVersion="7" minRefreshableVersion="5">
    <extLst>
      <ext xmlns:x15="http://schemas.microsoft.com/office/spreadsheetml/2010/11/main" uri="{DE250136-89BD-433C-8126-D09CA5730AF9}">
        <x15:connection id="calls">
          <x15:rangePr sourceName="_xlcn.WorksheetConnection_sampledataexcelportfolioproject.xlsxcalls1"/>
        </x15:connection>
      </ext>
    </extLst>
  </connection>
  <connection id="3" xr16:uid="{825FCDB7-FA6D-43CC-9D12-AD522573DEAB}" name="WorksheetConnection_sample-data-excel-portfolio-project.xlsx!customers" type="102" refreshedVersion="7"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<sst xmlns="http://schemas.openxmlformats.org/spreadsheetml/2006/main" count="3158" uniqueCount="1073">
  <si>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</si>
  <si>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</si>
  <si>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</si>
  <si>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</si>
  <si>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</si>
  <si>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</si>
  <si>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</si>
  <si>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</si>
  <si>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</si>
  <si>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</si>
  <si>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</si>
  <si>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</si>
  <si>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</si>
  <si>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</si>
  <si>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</si>
  <si>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</si>
  <si>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</si>
  <si>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</si>
  <si>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</si>
  <si>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</si>
  <si>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</si>
  <si>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</si>
  <si>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</si>
  <si>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</si>
  <si>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</si>
  <si>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</si>
  <si>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</si>
  <si>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</si>
  <si>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</si>
  <si>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</si>
  <si>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</si>
  <si>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</si>
  <si>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</si>
  <si>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</si>
  <si>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</si>
  <si>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</si>
  <si>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</si>
  <si>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</si>
  <si>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</si>
  <si>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</si>
  <si>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</si>
  <si>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</si>
  <si>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</si>
  <si>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</si>
  <si>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</si>
  <si>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</si>
  <si>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</si>
  <si>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</si>
  <si>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</si>
  <si>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</si>
  <si>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</si>
  <si>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</si>
  <si>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</si>
  <si>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</si>
  <si>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</si>
  <si>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</si>
  <si>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</si>
  <si>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</si>
  <si>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</si>
  <si>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</si>
  <si>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</si>
  <si>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</si>
  <si>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</si>
  <si>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</si>
  <si>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</si>
  <si>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</si>
  <si>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</si>
  <si>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</si>
  <si>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</si>
  <si>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</si>
  <si>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</si>
  <si>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</si>
  <si>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</si>
  <si>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</si>
  <si>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</si>
  <si>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</si>
  <si>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</si>
  <si>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</si>
  <si>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</si>
  <si>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</si>
  <si>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</si>
  <si>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</si>
  <si>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</si>
  <si>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</si>
  <si>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</si>
  <si>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</si>
  <si>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</si>
  <si>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</si>
  <si>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</si>
  <si>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</si>
  <si>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</si>
  <si>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</si>
  <si>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</si>
  <si>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</si>
  <si>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</si>
  <si>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</si>
  <si>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</si>
  <si>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</si>
  <si>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</si>
  <si>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</si>
  <si>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</si>
  <si>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</si>
  <si>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</si>
  <si>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</si>
  <si>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</si>
  <si>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</si>
  <si>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</si>
  <si>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</si>
  <si>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</si>
  <si>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</si>
  <si>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</si>
  <si>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</si>
  <si>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</si>
  <si>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</si>
  <si>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</si>
  <si>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</si>
  <si>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</si>
  <si>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</si>
  <si>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</si>
  <si>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</si>
  <si>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</si>
  <si>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</si>
  <si>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</si>
  <si>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</si>
  <si>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</si>
  <si>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</si>
  <si>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</si>
  <si>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</si>
  <si>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</si>
  <si>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</si>
  <si>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</si>
  <si>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</si>
  <si>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</si>
  <si>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</si>
  <si>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</si>
  <si>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</si>
  <si>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</si>
  <si>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</si>
  <si>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</si>
  <si>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</si>
  <si>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</si>
  <si>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</si>
  <si>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</si>
  <si>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</si>
  <si>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</si>
  <si>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</si>
  <si>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</si>
  <si>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</si>
  <si>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</si>
  <si>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</si>
  <si>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</si>
  <si>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</si>
  <si>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</si>
  <si>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</si>
  <si>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</si>
  <si>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</si>
  <si>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</si>
  <si>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</si>
  <si>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</si>
  <si>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</si>
  <si>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</si>
  <si>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</si>
  <si>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</si>
  <si>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</si>
  <si>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</si>
  <si>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</si>
  <si>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</si>
  <si>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</si>
  <si>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</si>
  <si>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</si>
  <si>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</si>
  <si>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</si>
  <si>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</si>
  <si>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</si>
  <si>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</si>
  <si>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</si>
  <si>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</si>
  <si>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</si>
  <si>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</si>
  <si>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</si>
  <si>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</si>
  <si>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</si>
  <si>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</si>
  <si>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</si>
  <si>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</si>
  <si>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</si>
  <si>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</si>
  <si>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</si>
  <si>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</si>
  <si>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</si>
  <si>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</si>
  <si>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</si>
  <si>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</si>
  <si>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</si>
  <si>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</si>
  <si>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</si>
  <si>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</si>
  <si>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</si>
  <si>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</si>
  <si>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</si>
  <si>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</si>
  <si>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</si>
  <si>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</si>
  <si>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</si>
  <si>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</si>
  <si>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</si>
  <si>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</si>
  <si>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</si>
  <si>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</si>
  <si>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</si>
  <si>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</si>
  <si>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</si>
  <si>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</si>
  <si>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</si>
  <si>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</si>
  <si>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</si>
  <si>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</si>
  <si>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</si>
  <si>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</si>
  <si>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</si>
  <si>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</si>
  <si>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</si>
  <si>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</si>
  <si>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</si>
  <si>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</si>
  <si>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</si>
  <si>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</si>
  <si>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</si>
  <si>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</si>
  <si>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</si>
  <si>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</si>
  <si>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</si>
  <si>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</si>
  <si>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</si>
  <si>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</si>
  <si>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</si>
  <si>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</si>
  <si>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</si>
  <si>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</si>
  <si>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</si>
  <si>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</si>
  <si>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</si>
  <si>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</si>
  <si>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</si>
  <si>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</si>
  <si>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</si>
  <si>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</si>
  <si>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</si>
  <si>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</si>
  <si>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</si>
  <si>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</si>
  <si>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</si>
  <si>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</si>
  <si>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</si>
  <si>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</si>
  <si>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</si>
  <si>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</si>
  <si>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</si>
  <si>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</si>
  <si>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</si>
  <si>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</si>
  <si>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</si>
  <si>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</si>
  <si>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</si>
  <si>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</si>
  <si>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</si>
  <si>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</si>
  <si>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</si>
  <si>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</si>
  <si>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</si>
  <si>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</si>
  <si>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</si>
  <si>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</si>
  <si>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</si>
  <si>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</si>
  <si>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</si>
  <si>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</si>
  <si>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</si>
  <si>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</si>
  <si>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</si>
  <si>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</si>
  <si>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</si>
  <si>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</si>
  <si>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</si>
  <si>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</si>
  <si>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</si>
  <si>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</si>
  <si>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</si>
  <si>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</si>
  <si>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</si>
  <si>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</si>
  <si>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</si>
  <si>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</si>
  <si>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</si>
  <si>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</si>
  <si>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</si>
  <si>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</si>
  <si>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</si>
  <si>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</si>
  <si>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</si>
  <si>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</si>
  <si>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</si>
  <si>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</si>
  <si>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</si>
  <si>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</si>
  <si>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</si>
  <si>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</si>
  <si>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</si>
  <si>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</si>
  <si>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</si>
  <si>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</si>
  <si>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</si>
  <si>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</si>
  <si>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</si>
  <si>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</si>
  <si>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</si>
  <si>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</si>
  <si>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</si>
  <si>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</si>
  <si>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</si>
  <si>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</si>
  <si>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</si>
  <si>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</si>
  <si>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</si>
  <si>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</si>
  <si>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</si>
  <si>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</si>
  <si>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</si>
  <si>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</si>
  <si>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</si>
  <si>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</si>
  <si>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</si>
  <si>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</si>
  <si>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</si>
  <si>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</si>
  <si>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</si>
  <si>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</si>
  <si>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</si>
  <si>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</si>
  <si>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</si>
  <si>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</si>
  <si>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</si>
  <si>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</si>
  <si>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</si>
  <si>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</si>
  <si>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</si>
  <si>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</si>
  <si>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</si>
  <si>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</si>
  <si>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</si>
  <si>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</si>
  <si>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</si>
  <si>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</si>
  <si>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</si>
  <si>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</si>
  <si>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</si>
  <si>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</si>
  <si>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</si>
  <si>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</si>
  <si>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</si>
  <si>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</si>
  <si>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</si>
  <si>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</si>
  <si>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</si>
  <si>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</si>
  <si>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</si>
  <si>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</si>
  <si>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</si>
  <si>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</si>
  <si>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</si>
  <si>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</si>
  <si>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</si>
  <si>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</si>
  <si>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</si>
  <si>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</si>
  <si>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</si>
  <si>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</si>
  <si>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</si>
  <si>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</si>
  <si>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</si>
  <si>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</si>
  <si>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</si>
  <si>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</si>
  <si>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</si>
  <si>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</si>
  <si>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</si>
  <si>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</si>
  <si>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</si>
  <si>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</si>
  <si>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</si>
  <si>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</si>
  <si>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</si>
  <si>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</si>
  <si>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</si>
  <si>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</si>
  <si>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</si>
  <si>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</si>
  <si>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</si>
  <si>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</si>
  <si>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</si>
  <si>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</si>
  <si>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</si>
  <si>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</si>
  <si>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</si>
  <si>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</si>
  <si>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</si>
  <si>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</si>
  <si>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</si>
  <si>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</si>
  <si>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</si>
  <si>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</si>
  <si>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</si>
  <si>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</si>
  <si>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</si>
  <si>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</si>
  <si>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</si>
  <si>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</si>
  <si>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</si>
  <si>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</si>
  <si>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</si>
  <si>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</si>
  <si>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</si>
  <si>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</si>
  <si>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</si>
  <si>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</si>
  <si>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</si>
  <si>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</si>
  <si>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</si>
  <si>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</si>
  <si>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</si>
  <si>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</si>
  <si>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</si>
  <si>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</si>
  <si>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</si>
  <si>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</si>
  <si>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</si>
  <si>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</si>
  <si>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</si>
  <si>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</si>
  <si>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</si>
  <si>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</si>
  <si>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</si>
  <si>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</si>
  <si>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</si>
  <si>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</si>
  <si>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</si>
  <si>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</si>
  <si>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</si>
  <si>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</si>
  <si>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</si>
  <si>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</si>
  <si>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</si>
  <si>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</si>
  <si>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</si>
  <si>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</si>
  <si>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</si>
  <si>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</si>
  <si>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</si>
  <si>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</si>
  <si>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</si>
  <si>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</si>
  <si>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</si>
  <si>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</si>
  <si>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</si>
  <si>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</si>
  <si>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</si>
  <si>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</si>
  <si>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</si>
  <si>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</si>
  <si>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</si>
  <si>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</si>
  <si>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</si>
  <si>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</si>
  <si>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</si>
  <si>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</si>
  <si>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</si>
  <si>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</si>
  <si>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</si>
  <si>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</si>
  <si>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</si>
  <si>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</si>
  <si>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</si>
  <si>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</si>
  <si>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</si>
  <si>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</si>
  <si>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</si>
  <si>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</si>
  <si>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</si>
  <si>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</si>
  <si>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</si>
  <si>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</si>
  <si>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</si>
  <si>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</si>
  <si>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</si>
  <si>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</si>
  <si>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</si>
  <si>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</si>
  <si>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</si>
  <si>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</si>
  <si>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</si>
  <si>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</si>
  <si>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</si>
  <si>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</si>
  <si>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</si>
  <si>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</si>
  <si>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</si>
  <si>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</si>
  <si>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</si>
  <si>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</si>
  <si>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</si>
  <si>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</si>
  <si>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</si>
  <si>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</si>
  <si>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</si>
  <si>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</si>
  <si>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</si>
  <si>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</si>
  <si>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</si>
  <si>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</si>
  <si>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</si>
  <si>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</si>
  <si>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</si>
  <si>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</si>
  <si>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</si>
  <si>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</si>
  <si>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</si>
  <si>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</si>
  <si>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</si>
  <si>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</si>
  <si>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</si>
  <si>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</si>
  <si>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</si>
  <si>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</si>
  <si>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</si>
  <si>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</si>
  <si>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</si>
  <si>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</si>
  <si>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</si>
  <si>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</si>
  <si>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</si>
  <si>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</si>
  <si>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</si>
  <si>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</si>
  <si>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</si>
  <si>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</si>
  <si>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</si>
  <si>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</si>
  <si>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</si>
  <si>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</si>
  <si>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</si>
  <si>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</si>
  <si>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</si>
  <si>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</si>
  <si>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</si>
  <si>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</si>
  <si>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</si>
  <si>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</si>
  <si>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</si>
  <si>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</si>
  <si>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</si>
  <si>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</si>
  <si>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</si>
  <si>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</si>
  <si>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</si>
  <si>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</si>
  <si>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</si>
  <si>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</si>
  <si>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</si>
  <si>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</si>
  <si>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</si>
  <si>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</si>
  <si>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</si>
  <si>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</si>
  <si>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</si>
  <si>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</si>
  <si>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</si>
  <si>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</si>
  <si>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</si>
  <si>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</si>
  <si>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</si>
  <si>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</si>
  <si>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</si>
  <si>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</si>
  <si>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</si>
  <si>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</si>
  <si>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</si>
  <si>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</si>
  <si>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</si>
  <si>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</si>
  <si>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</si>
  <si>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</si>
  <si>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</si>
  <si>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</si>
  <si>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</si>
  <si>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</si>
  <si>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</si>
  <si>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</si>
  <si>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</si>
  <si>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</si>
  <si>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</si>
  <si>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</si>
  <si>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</si>
  <si>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</si>
  <si>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</si>
  <si>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</si>
  <si>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</si>
  <si>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</si>
  <si>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</si>
  <si>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</si>
  <si>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</si>
  <si>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</si>
  <si>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</si>
  <si>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</si>
  <si>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</si>
  <si>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</si>
  <si>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</si>
  <si>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</si>
  <si>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</si>
  <si>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</si>
  <si>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</si>
  <si>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</si>
  <si>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</si>
  <si>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</si>
  <si>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</si>
  <si>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</si>
  <si>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</si>
  <si>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</si>
  <si>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</si>
  <si>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</si>
  <si>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</si>
  <si>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</si>
  <si>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</si>
  <si>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</si>
  <si>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</si>
  <si>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</si>
  <si>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</si>
  <si>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</si>
  <si>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</si>
  <si>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</si>
  <si>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</si>
  <si>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</si>
  <si>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</si>
  <si>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</si>
  <si>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</si>
  <si>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</si>
  <si>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</si>
  <si>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</si>
  <si>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</si>
  <si>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</si>
  <si>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</si>
  <si>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</si>
  <si>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</si>
  <si>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</si>
  <si>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</si>
  <si>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</si>
  <si>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</si>
  <si>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</si>
  <si>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</si>
  <si>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</si>
  <si>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</si>
  <si>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</si>
  <si>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</si>
  <si>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</si>
  <si>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</si>
  <si>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</si>
  <si>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</si>
  <si>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</si>
  <si>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</si>
  <si>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</si>
  <si>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</si>
  <si>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</si>
  <si>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</si>
  <si>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</si>
  <si>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</si>
  <si>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</si>
  <si>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</si>
  <si>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</si>
  <si>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</si>
  <si>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</si>
  <si>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</si>
  <si>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</si>
  <si>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</si>
  <si>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</si>
  <si>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</si>
  <si>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</si>
  <si>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</si>
  <si>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</si>
  <si>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</si>
  <si>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</si>
  <si>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</si>
  <si>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</si>
  <si>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</si>
  <si>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</si>
  <si>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</si>
  <si>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</si>
  <si>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</si>
  <si>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</si>
  <si>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</si>
  <si>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</si>
  <si>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</si>
  <si>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</si>
  <si>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</si>
  <si>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</si>
  <si>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</si>
  <si>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</si>
  <si>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</si>
  <si>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</si>
  <si>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</si>
  <si>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</si>
  <si>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</si>
  <si>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</si>
  <si>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</si>
  <si>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</si>
  <si>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</si>
  <si>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</si>
  <si>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</si>
  <si>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</si>
  <si>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</si>
  <si>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</si>
  <si>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</si>
  <si>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</si>
  <si>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</si>
  <si>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</si>
  <si>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</si>
  <si>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</si>
  <si>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</si>
  <si>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</si>
  <si>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</si>
  <si>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</si>
  <si>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</si>
  <si>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</si>
  <si>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</si>
  <si>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</si>
  <si>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</si>
  <si>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</si>
  <si>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</si>
  <si>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</si>
  <si>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</si>
  <si>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</si>
  <si>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</si>
  <si>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</si>
  <si>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</si>
  <si>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</si>
  <si>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</si>
  <si>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</si>
  <si>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</si>
  <si>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</si>
  <si>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</si>
  <si>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</si>
  <si>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</si>
  <si>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</si>
  <si>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</si>
  <si>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</si>
  <si>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</si>
  <si>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</si>
  <si>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</si>
  <si>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</si>
  <si>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</si>
  <si>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</si>
  <si>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</si>
  <si>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</si>
  <si>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</si>
  <si>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</si>
  <si>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</si>
  <si>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</si>
  <si>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</si>
  <si>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</si>
  <si>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</si>
  <si>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</si>
  <si>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</si>
  <si>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</si>
  <si>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</si>
  <si>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</si>
  <si>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</si>
  <si>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</si>
  <si>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</si>
  <si>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</si>
  <si>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</si>
  <si>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</si>
  <si>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</si>
  <si>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</si>
  <si>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</si>
  <si>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</si>
  <si>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</si>
  <si>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</si>
  <si>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</si>
  <si>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</si>
  <si>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</si>
  <si>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</si>
  <si>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</si>
  <si>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</si>
  <si>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</si>
  <si>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</si>
  <si>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</si>
  <si>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</si>
  <si>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</si>
  <si>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</si>
  <si>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</si>
  <si>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</si>
  <si>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</si>
  <si>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</si>
  <si>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</si>
  <si>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</si>
  <si>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</si>
  <si>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</si>
  <si>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</si>
  <si>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</si>
  <si>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</si>
  <si>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</si>
  <si>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</si>
  <si>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</si>
  <si>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</si>
  <si>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</si>
  <si>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</si>
  <si>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</si>
  <si>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</si>
  <si>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</si>
  <si>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</si>
  <si>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</si>
  <si>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</si>
  <si>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</si>
  <si>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</si>
  <si>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</si>
  <si>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</si>
  <si>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</si>
  <si>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</si>
  <si>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</si>
  <si>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</si>
  <si>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</si>
  <si>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</si>
  <si>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</si>
  <si>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</si>
  <si>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</si>
  <si>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</si>
  <si>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</si>
  <si>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</si>
  <si>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</si>
  <si>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</si>
  <si>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</si>
  <si>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</si>
  <si>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</si>
  <si>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</si>
  <si>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</si>
  <si>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</si>
  <si>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</si>
  <si>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</si>
  <si>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</si>
  <si>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</si>
  <si>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</si>
  <si>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</si>
  <si>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</si>
  <si>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</si>
  <si>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</si>
  <si>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</si>
  <si>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</si>
  <si>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</si>
  <si>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</si>
  <si>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</si>
  <si>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</si>
  <si>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</si>
  <si>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</si>
  <si>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</si>
  <si>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</si>
  <si>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</si>
  <si>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</si>
  <si>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</si>
  <si>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</si>
  <si>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</si>
  <si>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</si>
  <si>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</si>
  <si>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</si>
  <si>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</si>
  <si>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</si>
  <si>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</si>
  <si>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</si>
  <si>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</si>
  <si>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</si>
  <si>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</si>
  <si>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</si>
  <si>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</si>
  <si>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</si>
  <si>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</si>
  <si>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</si>
  <si>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</si>
  <si>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</si>
  <si>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</si>
  <si>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</si>
  <si>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</si>
  <si>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</si>
  <si>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</si>
  <si>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</si>
  <si>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</si>
  <si>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</si>
  <si>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</si>
  <si>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</si>
  <si>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</si>
  <si>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</si>
  <si>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</si>
  <si>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</si>
  <si>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</si>
  <si>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</si>
  <si>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</si>
  <si>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</si>
  <si>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</si>
  <si>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</si>
  <si>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</si>
  <si>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</si>
  <si>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</si>
  <si>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</si>
  <si>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</si>
  <si>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</si>
  <si>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</si>
  <si>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</si>
  <si>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</si>
  <si>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</si>
  <si>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</si>
  <si>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</si>
  <si>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</si>
  <si>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</si>
  <si>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</si>
  <si>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</si>
  <si>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</si>
  <si>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</si>
  <si>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</si>
  <si>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</si>
  <si>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</si>
  <si>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</si>
  <si>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</si>
  <si>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</si>
  <si>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</si>
  <si>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</si>
  <si>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</si>
  <si>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</si>
  <si>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</si>
  <si>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</si>
  <si>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</si>
  <si>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</si>
  <si>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</si>
  <si>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</si>
  <si>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</si>
  <si>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</si>
  <si>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</si>
  <si>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</si>
  <si>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</si>
  <si>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</si>
  <si>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</si>
  <si>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</si>
  <si>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</si>
  <si>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</si>
  <si>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</si>
  <si>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</si>
  <si>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</si>
  <si>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</si>
  <si>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</si>
  <si>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</si>
  <si>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</si>
  <si>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</si>
  <si>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</si>
  <si>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</si>
  <si>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</si>
  <si>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</si>
  <si>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</si>
  <si>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</si>
  <si>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</si>
  <si>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</si>
  <si>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</si>
  <si>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</si>
  <si>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</si>
  <si>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</si>
  <si>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</si>
  <si>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</si>
  <si>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</si>
  <si>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</si>
  <si>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</si>
  <si>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</si>
  <si>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</si>
  <si>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</si>
  <si>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</si>
  <si>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</si>
  <si>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</si>
  <si>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</si>
  <si>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</si>
  <si>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</si>
  <si>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</si>
  <si>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</si>
  <si>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</si>
  <si>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</si>
  <si>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</si>
  <si>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</si>
  <si>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</si>
  <si>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</si>
  <si>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</si>
  <si>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</si>
  <si>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</si>
  <si>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</si>
  <si>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</si>
  <si>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</si>
  <si>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</si>
  <si>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</si>
  <si>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</si>
  <si>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</si>
  <si>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</si>
  <si>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</si>
  <si>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</si>
  <si>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</si>
  <si>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</si>
  <si>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</si>
  <si>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</si>
  <si>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</si>
  <si>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</si>
  <si>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</si>
  <si>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</si>
  <si>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</si>
  <si>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</si>
  <si>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</si>
  <si>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</si>
  <si>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</si>
  <si>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</si>
  <si>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</si>
  <si>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</si>
  <si>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</si>
  <si>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</si>
  <si>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</si>
  <si>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</si>
  <si>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</si>
  <si>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</si>
  <si>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</si>
  <si>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</si>
  <si>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</si>
  <si>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</si>
  <si>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</si>
  <si>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</si>
  <si>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</si>
  <si>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</si>
  <si>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</si>
  <si>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</si>
  <si>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Day of week</t>
  </si>
  <si>
    <t>Duration Bucket</t>
  </si>
  <si>
    <t>Rating rounded</t>
  </si>
  <si>
    <t>Financial Year</t>
  </si>
  <si>
    <t>Row Labels</t>
  </si>
  <si>
    <t>Grand Total</t>
  </si>
  <si>
    <t>Count of Customer ID</t>
  </si>
  <si>
    <t>Total_amount</t>
  </si>
  <si>
    <t>Call_count</t>
  </si>
  <si>
    <t>Duration_count</t>
  </si>
  <si>
    <t>Avg.rat</t>
  </si>
  <si>
    <t>5*calls</t>
  </si>
  <si>
    <t>amt_per_call</t>
  </si>
  <si>
    <t>Jan</t>
  </si>
  <si>
    <t>Feb</t>
  </si>
  <si>
    <t>Mar</t>
  </si>
  <si>
    <t>Apr</t>
  </si>
  <si>
    <t>May</t>
  </si>
  <si>
    <t>Jun</t>
  </si>
  <si>
    <t>Jul</t>
  </si>
  <si>
    <t>Aug</t>
  </si>
  <si>
    <t>Sep</t>
  </si>
  <si>
    <t>Oct</t>
  </si>
  <si>
    <t>Nov</t>
  </si>
  <si>
    <t>Dec</t>
  </si>
  <si>
    <t>Friday</t>
  </si>
  <si>
    <t>Monday</t>
  </si>
  <si>
    <t>Saturday</t>
  </si>
  <si>
    <t>Sunday</t>
  </si>
  <si>
    <t>Thursday</t>
  </si>
  <si>
    <t>Tuesday</t>
  </si>
  <si>
    <t>Wednesday</t>
  </si>
  <si>
    <t>Column Labels</t>
  </si>
  <si>
    <t>Selected rep</t>
  </si>
  <si>
    <t>default rep</t>
  </si>
  <si>
    <t>Count of Call number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</si>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</sst>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7" formatCode="&quot;₹&quot;\ #,##0.00;#,##0.00\ \-&quot;₹&quot;;&quot;₹&quot;\ #,##0.00"/>
    <numFmt numFmtId="169" formatCode="&quot;₹&quot;\ #,##0;#,##0\ \-&quot;₹&quot;;&quot;₹&quot;\ #,##0"/>
    <numFmt numFmtId="171" formatCode="[$₹-44A]#,##0.00"/>
  </numFmts>
  <fonts count="5">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1"/>
      <color theme="1"/>
      <name val="Aptos"/>
      <scheme val="minor"/>
    </font>
  </fonts>
  <fills count="5">
    <fill>
      <patternFill patternType="none"/>
    </fill>
    <fill>
      <patternFill patternType="gray125"/>
    </fill>
    <fill>
      <patternFill patternType="solid">
        <fgColor theme="7"/>
        <bgColor indexed="64"/>
      </patternFill>
    </fill>
    <fill>
      <patternFill patternType="solid">
        <fgColor theme="4"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3">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0" fillId="3" borderId="0" xfId="0" applyFill="1"/>
    <xf numFmtId="167" fontId="0" fillId="0" borderId="0" xfId="0" applyNumberFormat="1"/>
    <xf numFmtId="3" fontId="0" fillId="0" borderId="0" xfId="0" applyNumberFormat="1"/>
    <xf numFmtId="1" fontId="0" fillId="0" borderId="0" xfId="0" applyNumberFormat="1"/>
    <xf numFmtId="3" fontId="0" fillId="3" borderId="0" xfId="0" applyNumberFormat="1" applyFill="1"/>
    <xf numFmtId="169" fontId="0" fillId="0" borderId="0" xfId="0" applyNumberFormat="1"/>
    <xf numFmtId="0" fontId="0" fillId="0" borderId="0" xfId="0" applyAlignment="1">
      <alignment horizontal="left" indent="1"/>
    </xf>
    <xf numFmtId="0" fontId="4" fillId="4" borderId="0" xfId="0" applyFont="1" applyFill="1" applyAlignment="1">
      <alignment horizontal="center"/>
    </xf>
    <xf numFmtId="171" fontId="4" fillId="4" borderId="0" xfId="0" applyNumberFormat="1" applyFont="1" applyFill="1" applyAlignment="1">
      <alignment horizontal="center"/>
    </xf>
  </cellXfs>
  <cellStyles count="1">
    <cellStyle name="Normal" xfId="0" builtinId="0"/>
  </cellStyles>
  <dxfs count="23">
    <dxf>
      <numFmt numFmtId="169" formatCode="&quot;₹&quot;\ #,##0;#,##0\ \-&quot;₹&quot;;&quot;₹&quot;\ #,##0"/>
    </dxf>
    <dxf>
      <numFmt numFmtId="169" formatCode="&quot;₹&quot;\ #,##0;#,##0\ \-&quot;₹&quot;;&quot;₹&quot;\ #,##0"/>
    </dxf>
    <dxf>
      <font>
        <b/>
        <i val="0"/>
        <color theme="0"/>
      </font>
      <fill>
        <patternFill>
          <bgColor theme="4"/>
        </patternFill>
      </fill>
    </dxf>
    <dxf>
      <font>
        <b/>
        <i val="0"/>
        <color theme="0"/>
      </font>
      <fill>
        <patternFill>
          <bgColor theme="4" tint="-0.24994659260841701"/>
        </patternFill>
      </fill>
    </dxf>
    <dxf>
      <fill>
        <patternFill>
          <bgColor theme="4"/>
        </patternFill>
      </fill>
    </dxf>
    <dxf>
      <fill>
        <patternFill patternType="solid">
          <bgColor theme="4"/>
        </patternFill>
      </fill>
    </dxf>
    <dxf>
      <numFmt numFmtId="169" formatCode="&quot;₹&quot;\ #,##0;#,##0\ \-&quot;₹&quot;;&quot;₹&quot;\ #,##0"/>
    </dxf>
    <dxf>
      <numFmt numFmtId="169" formatCode="&quot;₹&quot;\ #,##0;#,##0\ \-&quot;₹&quot;;&quot;₹&quot;\ #,##0"/>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22/10/relationships/richValueRel" Target="richData/richValueRel.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17/06/relationships/rdRichValue" Target="richData/rdrichvalue.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[sample-data-excel-portfolio-project_dashbord 0324.xlsx]pivots!Call trend</c:name>
    <c:fmtId val="1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CALL</a:t>
            </a:r>
            <a:r>
              <a:rPr lang="en-US" sz="1200" b="1" baseline="0"/>
              <a:t> TREND</a:t>
            </a:r>
            <a:r>
              <a:rPr lang="en-US" sz="1200" b="1"/>
              <a:t> - MONTH WISE</a:t>
            </a:r>
          </a:p>
        </c:rich>
      </c:tx>
      <c:layout>
        <c:manualLayout>
          <c:xMode val="edge"/>
          <c:yMode val="edge"/>
          <c:x val="2.5563520977788225E-2"/>
          <c:y val="2.1784013712329246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8500000000000024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8500000000000024E-2"/>
              <c:y val="-6.246536891221930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529791984957129E-2"/>
              <c:y val="-6.24652349784109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2">
                  <a:lumMod val="0"/>
                  <a:lumOff val="100000"/>
                </a:schemeClr>
              </a:gs>
              <a:gs pos="7000">
                <a:schemeClr val="accent2">
                  <a:lumMod val="0"/>
                  <a:lumOff val="100000"/>
                </a:schemeClr>
              </a:gs>
              <a:gs pos="100000">
                <a:schemeClr val="accent2">
                  <a:lumMod val="10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0.20050925925925925"/>
          <c:w val="0.89019685039370078"/>
          <c:h val="0.71523950131233593"/>
        </c:manualLayout>
      </c:layout>
      <c:areaChart>
        <c:grouping val="standard"/>
        <c:varyColors val="0"/>
        <c:ser>
          <c:idx val="1"/>
          <c:order val="1"/>
          <c:tx>
            <c:strRef>
              <c:f>pivots!$C$15</c:f>
              <c:strCache>
                <c:ptCount val="1"/>
                <c:pt idx="0">
                  <c:v>Call_count</c:v>
                </c:pt>
              </c:strCache>
            </c:strRef>
          </c:tx>
          <c:spPr>
            <a:gradFill flip="none" rotWithShape="1">
              <a:gsLst>
                <a:gs pos="0">
                  <a:schemeClr val="accent2">
                    <a:lumMod val="0"/>
                    <a:lumOff val="100000"/>
                  </a:schemeClr>
                </a:gs>
                <a:gs pos="7000">
                  <a:schemeClr val="accent2">
                    <a:lumMod val="0"/>
                    <a:lumOff val="100000"/>
                  </a:schemeClr>
                </a:gs>
                <a:gs pos="100000">
                  <a:schemeClr val="accent2">
                    <a:lumMod val="100000"/>
                  </a:schemeClr>
                </a:gs>
              </a:gsLst>
              <a:lin ang="16200000" scaled="1"/>
              <a:tileRect/>
            </a:gradFill>
            <a:ln>
              <a:noFill/>
            </a:ln>
            <a:effectLst/>
          </c:spPr>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pivots!$C$16:$C$28</c:f>
              <c:numCache>
                <c:formatCode>#,##0</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extLst>
            <c:ext xmlns:c16="http://schemas.microsoft.com/office/drawing/2014/chart" uri="{C3380CC4-5D6E-409C-BE32-E72D297353CC}">
              <c16:uniqueId val="{00000004-2400-447D-BAA5-72445B5EA3A6}"/>
            </c:ext>
          </c:extLst>
        </c:ser>
        <c:dLbls>
          <c:showLegendKey val="0"/>
          <c:showVal val="0"/>
          <c:showCatName val="0"/>
          <c:showSerName val="0"/>
          <c:showPercent val="0"/>
          <c:showBubbleSize val="0"/>
        </c:dLbls>
        <c:axId val="1993722303"/>
        <c:axId val="1993720639"/>
      </c:areaChart>
      <c:lineChart>
        <c:grouping val="standard"/>
        <c:varyColors val="0"/>
        <c:ser>
          <c:idx val="0"/>
          <c:order val="0"/>
          <c:tx>
            <c:strRef>
              <c:f>pivots!$B$15</c:f>
              <c:strCache>
                <c:ptCount val="1"/>
                <c:pt idx="0">
                  <c:v>Count of Customer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layout>
                <c:manualLayout>
                  <c:x val="-5.2529791984957129E-2"/>
                  <c:y val="-6.2465234978410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400-447D-BAA5-72445B5EA3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pivots!$B$16:$B$28</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1-2400-447D-BAA5-72445B5EA3A6}"/>
            </c:ext>
          </c:extLst>
        </c:ser>
        <c:dLbls>
          <c:dLblPos val="t"/>
          <c:showLegendKey val="0"/>
          <c:showVal val="1"/>
          <c:showCatName val="0"/>
          <c:showSerName val="0"/>
          <c:showPercent val="0"/>
          <c:showBubbleSize val="0"/>
        </c:dLbls>
        <c:marker val="1"/>
        <c:smooth val="0"/>
        <c:axId val="1993722303"/>
        <c:axId val="1993720639"/>
      </c:lineChart>
      <c:catAx>
        <c:axId val="199372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93720639"/>
        <c:crosses val="autoZero"/>
        <c:auto val="1"/>
        <c:lblAlgn val="ctr"/>
        <c:lblOffset val="100"/>
        <c:noMultiLvlLbl val="0"/>
      </c:catAx>
      <c:valAx>
        <c:axId val="1993720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223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[sample-data-excel-portfolio-project_dashbord 0324.xlsx]pivots!PivotTable7</c:name>
    <c:fmtId val="25"/>
  </c:pivotSource>
  <c:chart>
    <c:title>
      <c:tx>
        <c:rich>
          <a:bodyPr rot="0" spcFirstLastPara="1" vertOverflow="ellipsis" vert="horz" wrap="square" anchor="ctr" anchorCtr="1"/>
          <a:lstStyle/>
          <a:p>
            <a:pPr algn="ctr">
              <a:defRPr sz="1200" b="1" i="0" u="none" strike="noStrike" kern="1200" cap="all" spc="150" baseline="0">
                <a:solidFill>
                  <a:schemeClr val="tx1">
                    <a:lumMod val="50000"/>
                    <a:lumOff val="50000"/>
                  </a:schemeClr>
                </a:solidFill>
                <a:latin typeface="+mn-lt"/>
                <a:ea typeface="+mn-ea"/>
                <a:cs typeface="+mn-cs"/>
              </a:defRPr>
            </a:pPr>
            <a:r>
              <a:rPr lang="en-US" sz="1200"/>
              <a:t>Call trend - Day wise</a:t>
            </a:r>
          </a:p>
        </c:rich>
      </c:tx>
      <c:layout>
        <c:manualLayout>
          <c:xMode val="edge"/>
          <c:yMode val="edge"/>
          <c:x val="2.7279986120239231E-2"/>
          <c:y val="3.0000009448821873E-2"/>
        </c:manualLayout>
      </c:layout>
      <c:overlay val="0"/>
      <c:spPr>
        <a:noFill/>
        <a:ln>
          <a:solidFill>
            <a:schemeClr val="bg1">
              <a:alpha val="99000"/>
            </a:schemeClr>
          </a:solidFill>
        </a:ln>
        <a:effectLst/>
      </c:spPr>
      <c:txPr>
        <a:bodyPr rot="0" spcFirstLastPara="1" vertOverflow="ellipsis" vert="horz" wrap="square" anchor="ctr" anchorCtr="1"/>
        <a:lstStyle/>
        <a:p>
          <a:pPr algn="ctr">
            <a:defRPr sz="12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Vert">
            <a:fgClr>
              <a:schemeClr val="accent2"/>
            </a:fgClr>
            <a:bgClr>
              <a:schemeClr val="accent2">
                <a:lumMod val="20000"/>
                <a:lumOff val="80000"/>
              </a:schemeClr>
            </a:bgClr>
          </a:pattFill>
          <a:ln>
            <a:noFill/>
          </a:ln>
          <a:effectLst>
            <a:innerShdw blurRad="114300">
              <a:schemeClr val="accent2"/>
            </a:innerShdw>
          </a:effectLst>
        </c:spPr>
        <c:marker>
          <c:symbol val="circle"/>
          <c:size val="6"/>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80154715474579"/>
          <c:y val="0.16514633912915119"/>
          <c:w val="0.71894478907259818"/>
          <c:h val="0.73771531552575187"/>
        </c:manualLayout>
      </c:layout>
      <c:barChart>
        <c:barDir val="bar"/>
        <c:grouping val="clustered"/>
        <c:varyColors val="0"/>
        <c:ser>
          <c:idx val="0"/>
          <c:order val="0"/>
          <c:tx>
            <c:strRef>
              <c:f>pivots!$F$15</c:f>
              <c:strCache>
                <c:ptCount val="1"/>
                <c:pt idx="0">
                  <c:v>Total</c:v>
                </c:pt>
              </c:strCache>
            </c:strRef>
          </c:tx>
          <c:spPr>
            <a:pattFill prst="narVert">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pivots!$E$16:$E$23</c:f>
              <c:strCache>
                <c:ptCount val="7"/>
                <c:pt idx="0">
                  <c:v>Sunday</c:v>
                </c:pt>
                <c:pt idx="1">
                  <c:v>Saturday</c:v>
                </c:pt>
                <c:pt idx="2">
                  <c:v>Friday</c:v>
                </c:pt>
                <c:pt idx="3">
                  <c:v>Thursday</c:v>
                </c:pt>
                <c:pt idx="4">
                  <c:v>Wednesday</c:v>
                </c:pt>
                <c:pt idx="5">
                  <c:v>Tuesday</c:v>
                </c:pt>
                <c:pt idx="6">
                  <c:v>Monday</c:v>
                </c:pt>
              </c:strCache>
            </c:strRef>
          </c:cat>
          <c:val>
            <c:numRef>
              <c:f>pivots!$F$16:$F$23</c:f>
              <c:numCache>
                <c:formatCode>#,##0</c:formatCode>
                <c:ptCount val="7"/>
                <c:pt idx="0">
                  <c:v>146</c:v>
                </c:pt>
                <c:pt idx="1">
                  <c:v>161</c:v>
                </c:pt>
                <c:pt idx="2">
                  <c:v>141</c:v>
                </c:pt>
                <c:pt idx="3">
                  <c:v>128</c:v>
                </c:pt>
                <c:pt idx="4">
                  <c:v>153</c:v>
                </c:pt>
                <c:pt idx="5">
                  <c:v>138</c:v>
                </c:pt>
                <c:pt idx="6">
                  <c:v>133</c:v>
                </c:pt>
              </c:numCache>
            </c:numRef>
          </c:val>
          <c:extLst>
            <c:ext xmlns:c16="http://schemas.microsoft.com/office/drawing/2014/chart" uri="{C3380CC4-5D6E-409C-BE32-E72D297353CC}">
              <c16:uniqueId val="{00000000-CC75-43FE-9DE6-779870D0B842}"/>
            </c:ext>
          </c:extLst>
        </c:ser>
        <c:dLbls>
          <c:dLblPos val="inEnd"/>
          <c:showLegendKey val="0"/>
          <c:showVal val="1"/>
          <c:showCatName val="0"/>
          <c:showSerName val="0"/>
          <c:showPercent val="0"/>
          <c:showBubbleSize val="0"/>
        </c:dLbls>
        <c:gapWidth val="33"/>
        <c:overlap val="-44"/>
        <c:axId val="2048765311"/>
        <c:axId val="2048758655"/>
      </c:barChart>
      <c:catAx>
        <c:axId val="2048765311"/>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048758655"/>
        <c:crosses val="autoZero"/>
        <c:auto val="1"/>
        <c:lblAlgn val="ctr"/>
        <c:lblOffset val="100"/>
        <c:noMultiLvlLbl val="0"/>
      </c:catAx>
      <c:valAx>
        <c:axId val="2048758655"/>
        <c:scaling>
          <c:orientation val="minMax"/>
          <c:max val="170"/>
          <c:min val="0"/>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765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[sample-data-excel-portfolio-project_dashbord 0324.xlsx]pivots!PivotTable9</c:name>
    <c:fmtId val="3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Rating</a:t>
            </a:r>
          </a:p>
        </c:rich>
      </c:tx>
      <c:layout>
        <c:manualLayout>
          <c:xMode val="edge"/>
          <c:yMode val="edge"/>
          <c:x val="0.12776079323171954"/>
          <c:y val="3.309204800692066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98000">
                <a:schemeClr val="accent1">
                  <a:alpha val="46000"/>
                </a:schemeClr>
              </a:gs>
              <a:gs pos="5000">
                <a:schemeClr val="accent1"/>
              </a:gs>
            </a:gsLst>
            <a:path path="circle">
              <a:fillToRect l="50000" t="130000" r="50000" b="-30000"/>
            </a:path>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pivots!$F$26</c:f>
              <c:strCache>
                <c:ptCount val="1"/>
                <c:pt idx="0">
                  <c:v>Total</c:v>
                </c:pt>
              </c:strCache>
            </c:strRef>
          </c:tx>
          <c:spPr>
            <a:gradFill>
              <a:gsLst>
                <a:gs pos="0">
                  <a:schemeClr val="accent2"/>
                </a:gs>
                <a:gs pos="98000">
                  <a:schemeClr val="accent1">
                    <a:alpha val="46000"/>
                  </a:schemeClr>
                </a:gs>
                <a:gs pos="5000">
                  <a:schemeClr val="accent1"/>
                </a:gs>
              </a:gsLst>
              <a:path path="circle">
                <a:fillToRect l="50000" t="130000" r="50000" b="-30000"/>
              </a:path>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pivots!$E$27:$E$33</c:f>
              <c:strCache>
                <c:ptCount val="6"/>
                <c:pt idx="0">
                  <c:v>0</c:v>
                </c:pt>
                <c:pt idx="1">
                  <c:v>1</c:v>
                </c:pt>
                <c:pt idx="2">
                  <c:v>2</c:v>
                </c:pt>
                <c:pt idx="3">
                  <c:v>3</c:v>
                </c:pt>
                <c:pt idx="4">
                  <c:v>4</c:v>
                </c:pt>
                <c:pt idx="5">
                  <c:v>5</c:v>
                </c:pt>
              </c:strCache>
            </c:strRef>
          </c:cat>
          <c:val>
            <c:numRef>
              <c:f>pivots!$F$27:$F$33</c:f>
              <c:numCache>
                <c:formatCode>General</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1-DF0B-4B45-8339-EE603C3C1278}"/>
            </c:ext>
          </c:extLst>
        </c:ser>
        <c:dLbls>
          <c:dLblPos val="outEnd"/>
          <c:showLegendKey val="0"/>
          <c:showVal val="1"/>
          <c:showCatName val="0"/>
          <c:showSerName val="0"/>
          <c:showPercent val="0"/>
          <c:showBubbleSize val="0"/>
        </c:dLbls>
        <c:gapWidth val="60"/>
        <c:overlap val="-27"/>
        <c:axId val="2013689215"/>
        <c:axId val="2013693791"/>
      </c:barChart>
      <c:catAx>
        <c:axId val="201368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93791"/>
        <c:crosses val="autoZero"/>
        <c:auto val="1"/>
        <c:lblAlgn val="ctr"/>
        <c:lblOffset val="100"/>
        <c:noMultiLvlLbl val="0"/>
      </c:catAx>
      <c:valAx>
        <c:axId val="201369379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68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IN" sz="1800" b="1"/>
              <a:t>Calls</a:t>
            </a:r>
          </a:p>
        </c:rich>
      </c:tx>
      <c:layout>
        <c:manualLayout>
          <c:xMode val="edge"/>
          <c:yMode val="edge"/>
          <c:x val="0.16999240402817245"/>
          <c:y val="2.7777777777777776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pivots!$E$43:$E$47</c:f>
              <c:strCache>
                <c:ptCount val="5"/>
                <c:pt idx="0">
                  <c:v>R01</c:v>
                </c:pt>
                <c:pt idx="1">
                  <c:v>R02</c:v>
                </c:pt>
                <c:pt idx="2">
                  <c:v>R03</c:v>
                </c:pt>
                <c:pt idx="3">
                  <c:v>R04</c:v>
                </c:pt>
                <c:pt idx="4">
                  <c:v>R05</c:v>
                </c:pt>
              </c:strCache>
            </c:strRef>
          </c:cat>
          <c:val>
            <c:numRef>
              <c:f>pivots!$F$43:$F$47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D20-41B6-8DFC-AD203279DE8C}"/>
            </c:ext>
          </c:extLst>
        </c:ser>
        <c:ser>
          <c:idx val="2"/>
          <c:order val="2"/>
          <c:tx>
            <c:strRef>
              <c:f>pivots!$H$41</c:f>
              <c:strCache>
                <c:ptCount val="1"/>
                <c:pt idx="0">
                  <c:v>Selected rep</c:v>
                </c:pt>
              </c:strCache>
            </c:strRef>
          </c:tx>
          <c:spPr>
            <a:solidFill>
              <a:schemeClr val="accent1"/>
            </a:solidFill>
            <a:ln>
              <a:noFill/>
            </a:ln>
            <a:effectLst/>
          </c:spPr>
          <c:invertIfNegative val="0"/>
          <c:dLbls>
            <c:delete val="1"/>
          </c:dLbls>
          <c:val>
            <c:numRef>
              <c:f>pivots!$H$43:$H$47</c:f>
              <c:numCache>
                <c:formatCode>General</c:formatCode>
                <c:ptCount val="5"/>
                <c:pt idx="0">
                  <c:v>189</c:v>
                </c:pt>
                <c:pt idx="1">
                  <c:v>0</c:v>
                </c:pt>
                <c:pt idx="2">
                  <c:v>0</c:v>
                </c:pt>
                <c:pt idx="3">
                  <c:v>0</c:v>
                </c:pt>
                <c:pt idx="4">
                  <c:v>0</c:v>
                </c:pt>
              </c:numCache>
            </c:numRef>
          </c:val>
          <c:extLst>
            <c:ext xmlns:c16="http://schemas.microsoft.com/office/drawing/2014/chart" uri="{C3380CC4-5D6E-409C-BE32-E72D297353CC}">
              <c16:uniqueId val="{00000001-7D20-41B6-8DFC-AD203279DE8C}"/>
            </c:ext>
          </c:extLst>
        </c:ser>
        <c:dLbls>
          <c:dLblPos val="outEnd"/>
          <c:showLegendKey val="0"/>
          <c:showVal val="1"/>
          <c:showCatName val="0"/>
          <c:showSerName val="0"/>
          <c:showPercent val="0"/>
          <c:showBubbleSize val="0"/>
        </c:dLbls>
        <c:gapWidth val="25"/>
        <c:overlap val="100"/>
        <c:axId val="2013671327"/>
        <c:axId val="2013674655"/>
        <c:extLst>
          <c:ext xmlns:c15="http://schemas.microsoft.com/office/drawing/2012/chart" uri="{02D57815-91ED-43cb-92C2-25804820EDAC}">
            <c15:filteredBarSeries>
              <c15:ser>
                <c:idx val="1"/>
                <c:order val="1"/>
                <c:tx>
                  <c:strRef>
                    <c:extLst>
                      <c:ext uri="{02D57815-91ED-43cb-92C2-25804820EDAC}">
                        <c15:formulaRef>
                          <c15:sqref>pivots!$H$43:$H$47</c15:sqref>
                        </c15:formulaRef>
                      </c:ext>
                    </c:extLst>
                    <c:strCache>
                      <c:ptCount val="5"/>
                      <c:pt idx="0">
                        <c:v>189</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Lit>
                    <c:formatCode>General</c:formatCode>
                    <c:ptCount val="1"/>
                    <c:pt idx="0">
                      <c:v>1</c:v>
                    </c:pt>
                  </c:numLit>
                </c:val>
                <c:extLst>
                  <c:ext xmlns:c16="http://schemas.microsoft.com/office/drawing/2014/chart" uri="{C3380CC4-5D6E-409C-BE32-E72D297353CC}">
                    <c16:uniqueId val="{00000002-7D20-41B6-8DFC-AD203279DE8C}"/>
                  </c:ext>
                </c:extLst>
              </c15:ser>
            </c15:filteredBarSeries>
          </c:ext>
        </c:extLst>
      </c:barChart>
      <c:catAx>
        <c:axId val="20136713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2013674655"/>
        <c:crosses val="autoZero"/>
        <c:auto val="1"/>
        <c:lblAlgn val="ctr"/>
        <c:lblOffset val="100"/>
        <c:noMultiLvlLbl val="0"/>
      </c:catAx>
      <c:valAx>
        <c:axId val="2013674655"/>
        <c:scaling>
          <c:orientation val="minMax"/>
        </c:scaling>
        <c:delete val="1"/>
        <c:axPos val="t"/>
        <c:numFmt formatCode="General" sourceLinked="1"/>
        <c:majorTickMark val="none"/>
        <c:minorTickMark val="none"/>
        <c:tickLblPos val="nextTo"/>
        <c:crossAx val="20136713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Amount</a:t>
            </a:r>
          </a:p>
        </c:rich>
      </c:tx>
      <c:layout>
        <c:manualLayout>
          <c:xMode val="edge"/>
          <c:yMode val="edge"/>
          <c:x val="8.070074743449615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pivots!$E$43:$E$47</c:f>
              <c:strCache>
                <c:ptCount val="5"/>
                <c:pt idx="0">
                  <c:v>R01</c:v>
                </c:pt>
                <c:pt idx="1">
                  <c:v>R02</c:v>
                </c:pt>
                <c:pt idx="2">
                  <c:v>R03</c:v>
                </c:pt>
                <c:pt idx="3">
                  <c:v>R04</c:v>
                </c:pt>
                <c:pt idx="4">
                  <c:v>R05</c:v>
                </c:pt>
              </c:strCache>
            </c:strRef>
          </c:cat>
          <c:val>
            <c:numRef>
              <c:f>pivots!$G$43:$G$47</c:f>
              <c:numCache>
                <c:formatCode>General</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9FAE-44FA-B617-4DBFFD02B34B}"/>
            </c:ext>
          </c:extLst>
        </c:ser>
        <c:ser>
          <c:idx val="1"/>
          <c:order val="1"/>
          <c:spPr>
            <a:solidFill>
              <a:schemeClr val="accent1"/>
            </a:solidFill>
            <a:ln>
              <a:noFill/>
            </a:ln>
            <a:effectLst/>
          </c:spPr>
          <c:invertIfNegative val="0"/>
          <c:dLbls>
            <c:delete val="1"/>
          </c:dLbls>
          <c:cat>
            <c:strRef>
              <c:f>pivots!$E$43:$E$47</c:f>
              <c:strCache>
                <c:ptCount val="5"/>
                <c:pt idx="0">
                  <c:v>R01</c:v>
                </c:pt>
                <c:pt idx="1">
                  <c:v>R02</c:v>
                </c:pt>
                <c:pt idx="2">
                  <c:v>R03</c:v>
                </c:pt>
                <c:pt idx="3">
                  <c:v>R04</c:v>
                </c:pt>
                <c:pt idx="4">
                  <c:v>R05</c:v>
                </c:pt>
              </c:strCache>
            </c:strRef>
          </c:cat>
          <c:val>
            <c:numRef>
              <c:f>pivots!$I$43:$I$47</c:f>
              <c:numCache>
                <c:formatCode>General</c:formatCode>
                <c:ptCount val="5"/>
                <c:pt idx="0">
                  <c:v>18415</c:v>
                </c:pt>
                <c:pt idx="1">
                  <c:v>0</c:v>
                </c:pt>
                <c:pt idx="2">
                  <c:v>0</c:v>
                </c:pt>
                <c:pt idx="3">
                  <c:v>0</c:v>
                </c:pt>
                <c:pt idx="4">
                  <c:v>0</c:v>
                </c:pt>
              </c:numCache>
            </c:numRef>
          </c:val>
          <c:extLst>
            <c:ext xmlns:c16="http://schemas.microsoft.com/office/drawing/2014/chart" uri="{C3380CC4-5D6E-409C-BE32-E72D297353CC}">
              <c16:uniqueId val="{00000001-9FAE-44FA-B617-4DBFFD02B34B}"/>
            </c:ext>
          </c:extLst>
        </c:ser>
        <c:dLbls>
          <c:dLblPos val="outEnd"/>
          <c:showLegendKey val="0"/>
          <c:showVal val="1"/>
          <c:showCatName val="0"/>
          <c:showSerName val="0"/>
          <c:showPercent val="0"/>
          <c:showBubbleSize val="0"/>
        </c:dLbls>
        <c:gapWidth val="25"/>
        <c:overlap val="100"/>
        <c:axId val="2048710815"/>
        <c:axId val="2048714143"/>
      </c:barChart>
      <c:catAx>
        <c:axId val="2048710815"/>
        <c:scaling>
          <c:orientation val="maxMin"/>
        </c:scaling>
        <c:delete val="1"/>
        <c:axPos val="l"/>
        <c:numFmt formatCode="General" sourceLinked="1"/>
        <c:majorTickMark val="out"/>
        <c:minorTickMark val="none"/>
        <c:tickLblPos val="nextTo"/>
        <c:crossAx val="2048714143"/>
        <c:crosses val="autoZero"/>
        <c:auto val="1"/>
        <c:lblAlgn val="ctr"/>
        <c:lblOffset val="100"/>
        <c:noMultiLvlLbl val="0"/>
      </c:catAx>
      <c:valAx>
        <c:axId val="2048714143"/>
        <c:scaling>
          <c:orientation val="minMax"/>
        </c:scaling>
        <c:delete val="1"/>
        <c:axPos val="t"/>
        <c:numFmt formatCode="General" sourceLinked="1"/>
        <c:majorTickMark val="none"/>
        <c:minorTickMark val="none"/>
        <c:tickLblPos val="nextTo"/>
        <c:crossAx val="204871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[sample-data-excel-portfolio-project_dashbord 0324.xlsx]pivots!Male vs Female reps</c:name>
    <c:fmtId val="4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baseline="0">
                <a:effectLst/>
              </a:rPr>
              <a:t>Male vs Female</a:t>
            </a:r>
            <a:endParaRPr lang="en-IN">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flip="none" rotWithShape="1">
              <a:gsLst>
                <a:gs pos="0">
                  <a:schemeClr val="accent2">
                    <a:lumMod val="67000"/>
                  </a:schemeClr>
                </a:gs>
                <a:gs pos="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2"/>
                </a:gs>
                <a:gs pos="98000">
                  <a:schemeClr val="accent1">
                    <a:alpha val="46000"/>
                  </a:schemeClr>
                </a:gs>
                <a:gs pos="5000">
                  <a:schemeClr val="accent1"/>
                </a:gs>
              </a:gsLst>
              <a:path path="circle">
                <a:fillToRect l="50000" t="130000" r="50000" b="-3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flip="none" rotWithShape="1">
              <a:gsLst>
                <a:gs pos="0">
                  <a:schemeClr val="accent2">
                    <a:lumMod val="67000"/>
                  </a:schemeClr>
                </a:gs>
                <a:gs pos="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gradFill>
              <a:gsLst>
                <a:gs pos="0">
                  <a:schemeClr val="accent2"/>
                </a:gs>
                <a:gs pos="98000">
                  <a:schemeClr val="accent1">
                    <a:alpha val="46000"/>
                  </a:schemeClr>
                </a:gs>
                <a:gs pos="5000">
                  <a:schemeClr val="accent1"/>
                </a:gs>
              </a:gsLst>
              <a:path path="circle">
                <a:fillToRect l="50000" t="130000" r="50000" b="-3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gradFill flip="none" rotWithShape="1">
              <a:gsLst>
                <a:gs pos="0">
                  <a:schemeClr val="accent2">
                    <a:lumMod val="67000"/>
                  </a:schemeClr>
                </a:gs>
                <a:gs pos="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gradFill>
              <a:gsLst>
                <a:gs pos="0">
                  <a:schemeClr val="accent2"/>
                </a:gs>
                <a:gs pos="98000">
                  <a:schemeClr val="accent1">
                    <a:alpha val="46000"/>
                  </a:schemeClr>
                </a:gs>
                <a:gs pos="5000">
                  <a:schemeClr val="accent1"/>
                </a:gs>
              </a:gsLst>
              <a:path path="circle">
                <a:fillToRect l="50000" t="130000" r="50000" b="-3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pivots!$B$33:$B$34</c:f>
              <c:strCache>
                <c:ptCount val="1"/>
                <c:pt idx="0">
                  <c:v>Female</c:v>
                </c:pt>
              </c:strCache>
            </c:strRef>
          </c:tx>
          <c:spPr>
            <a:solidFill>
              <a:schemeClr val="accent1"/>
            </a:solidFill>
            <a:ln>
              <a:noFill/>
            </a:ln>
            <a:effectLst/>
          </c:spPr>
          <c:invertIfNegative val="0"/>
          <c:dLbls>
            <c:spPr>
              <a:gradFill flip="none" rotWithShape="1">
                <a:gsLst>
                  <a:gs pos="0">
                    <a:schemeClr val="accent2">
                      <a:lumMod val="67000"/>
                    </a:schemeClr>
                  </a:gs>
                  <a:gs pos="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pivots!$A$35:$A$38</c:f>
              <c:strCache>
                <c:ptCount val="3"/>
                <c:pt idx="0">
                  <c:v>Cincinnati</c:v>
                </c:pt>
                <c:pt idx="1">
                  <c:v>Cleveland</c:v>
                </c:pt>
                <c:pt idx="2">
                  <c:v>Columbus</c:v>
                </c:pt>
              </c:strCache>
            </c:strRef>
          </c:cat>
          <c:val>
            <c:numRef>
              <c:f>pivots!$B$35:$B$38</c:f>
              <c:numCache>
                <c:formatCode>General</c:formatCode>
                <c:ptCount val="3"/>
                <c:pt idx="0">
                  <c:v>144</c:v>
                </c:pt>
                <c:pt idx="1">
                  <c:v>326</c:v>
                </c:pt>
                <c:pt idx="2">
                  <c:v>129</c:v>
                </c:pt>
              </c:numCache>
            </c:numRef>
          </c:val>
          <c:extLst>
            <c:ext xmlns:c16="http://schemas.microsoft.com/office/drawing/2014/chart" uri="{C3380CC4-5D6E-409C-BE32-E72D297353CC}">
              <c16:uniqueId val="{00000000-35E7-4047-B5E7-F1B32A5F8766}"/>
            </c:ext>
          </c:extLst>
        </c:ser>
        <c:ser>
          <c:idx val="1"/>
          <c:order val="1"/>
          <c:tx>
            <c:strRef>
              <c:f>pivots!$C$33:$C$34</c:f>
              <c:strCache>
                <c:ptCount val="1"/>
                <c:pt idx="0">
                  <c:v>Male</c:v>
                </c:pt>
              </c:strCache>
            </c:strRef>
          </c:tx>
          <c:spPr>
            <a:solidFill>
              <a:schemeClr val="accent2"/>
            </a:solidFill>
            <a:ln>
              <a:noFill/>
            </a:ln>
            <a:effectLst/>
          </c:spPr>
          <c:invertIfNegative val="0"/>
          <c:dLbls>
            <c:spPr>
              <a:gradFill>
                <a:gsLst>
                  <a:gs pos="0">
                    <a:schemeClr val="accent2"/>
                  </a:gs>
                  <a:gs pos="98000">
                    <a:schemeClr val="accent1">
                      <a:alpha val="46000"/>
                    </a:schemeClr>
                  </a:gs>
                  <a:gs pos="5000">
                    <a:schemeClr val="accent1"/>
                  </a:gs>
                </a:gsLst>
                <a:path path="circle">
                  <a:fillToRect l="50000" t="130000" r="50000" b="-30000"/>
                </a:path>
              </a:gra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pivots!$A$35:$A$38</c:f>
              <c:strCache>
                <c:ptCount val="3"/>
                <c:pt idx="0">
                  <c:v>Cincinnati</c:v>
                </c:pt>
                <c:pt idx="1">
                  <c:v>Cleveland</c:v>
                </c:pt>
                <c:pt idx="2">
                  <c:v>Columbus</c:v>
                </c:pt>
              </c:strCache>
            </c:strRef>
          </c:cat>
          <c:val>
            <c:numRef>
              <c:f>pivots!$C$35:$C$38</c:f>
              <c:numCache>
                <c:formatCode>General</c:formatCode>
                <c:ptCount val="3"/>
                <c:pt idx="0">
                  <c:v>132</c:v>
                </c:pt>
                <c:pt idx="1">
                  <c:v>63</c:v>
                </c:pt>
                <c:pt idx="2">
                  <c:v>206</c:v>
                </c:pt>
              </c:numCache>
            </c:numRef>
          </c:val>
          <c:extLst>
            <c:ext xmlns:c16="http://schemas.microsoft.com/office/drawing/2014/chart" uri="{C3380CC4-5D6E-409C-BE32-E72D297353CC}">
              <c16:uniqueId val="{00000001-35E7-4047-B5E7-F1B32A5F8766}"/>
            </c:ext>
          </c:extLst>
        </c:ser>
        <c:dLbls>
          <c:dLblPos val="ctr"/>
          <c:showLegendKey val="0"/>
          <c:showVal val="1"/>
          <c:showCatName val="0"/>
          <c:showSerName val="0"/>
          <c:showPercent val="0"/>
          <c:showBubbleSize val="0"/>
        </c:dLbls>
        <c:gapWidth val="25"/>
        <c:overlap val="100"/>
        <c:axId val="2048711647"/>
        <c:axId val="2048701663"/>
      </c:barChart>
      <c:catAx>
        <c:axId val="204871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701663"/>
        <c:crosses val="autoZero"/>
        <c:auto val="1"/>
        <c:lblAlgn val="ctr"/>
        <c:lblOffset val="100"/>
        <c:noMultiLvlLbl val="0"/>
      </c:catAx>
      <c:valAx>
        <c:axId val="2048701663"/>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48711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1</xdr:col>
      <xdr:colOff>51330</xdr:colOff>
      <xdr:row>1</xdr:row>
      <xdr:rowOff>61384</xdr:rowOff>
    </xdr:from>
    <xdr:to>
      <xdr:col>4</xdr:col>
      <xdr:colOff>38460</xdr:colOff>
      <xdr:row>6</xdr:row>
      <xdr:rowOff>139701</xdr:rowOff>
    </xdr:to>
    <xdr:sp macro="" textlink="pivots!A4">
      <xdr:nvSpPr>
        <xdr:cNvPr id="5" name="Rectangle 4">
          <a:extLst>
            <a:ext uri="{FF2B5EF4-FFF2-40B4-BE49-F238E27FC236}">
              <a16:creationId xmlns:a16="http://schemas.microsoft.com/office/drawing/2014/main" id="{37FCB57E-9A6E-4911-A17A-E1F005AD2DE1}"/>
            </a:ext>
          </a:extLst>
        </xdr:cNvPr>
        <xdr:cNvSpPr/>
      </xdr:nvSpPr>
      <xdr:spPr>
        <a:xfrm>
          <a:off x="265643" y="109009"/>
          <a:ext cx="1582567"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fld id="{FFE81150-64FD-4DC8-AB04-02199210E586}" type="TxLink">
            <a:rPr lang="en-US" sz="2800" b="1" i="0" u="none" strike="noStrike">
              <a:solidFill>
                <a:srgbClr val="000000"/>
              </a:solidFill>
              <a:latin typeface="Aptos"/>
            </a:rPr>
            <a:pPr algn="ctr"/>
            <a:t>1,000</a:t>
          </a:fld>
          <a:endParaRPr lang="en-IN" sz="2800" b="1"/>
        </a:p>
      </xdr:txBody>
    </xdr:sp>
    <xdr:clientData/>
  </xdr:twoCellAnchor>
  <xdr:twoCellAnchor editAs="oneCell">
    <xdr:from>
      <xdr:col>1</xdr:col>
      <xdr:colOff>115164</xdr:colOff>
      <xdr:row>1</xdr:row>
      <xdr:rowOff>115714</xdr:rowOff>
    </xdr:from>
    <xdr:to>
      <xdr:col>2</xdr:col>
      <xdr:colOff>126096</xdr:colOff>
      <xdr:row>2</xdr:row>
      <xdr:rowOff>169881</xdr:rowOff>
    </xdr:to>
    <xdr:pic>
      <xdr:nvPicPr>
        <xdr:cNvPr id="6" name="Graphic 5" descr="Receiver with solid fill">
          <a:extLst>
            <a:ext uri="{FF2B5EF4-FFF2-40B4-BE49-F238E27FC236}">
              <a16:creationId xmlns:a16="http://schemas.microsoft.com/office/drawing/2014/main" id="{A900D181-5416-4122-BF48-297FB678B0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371493">
          <a:off x="329477" y="163339"/>
          <a:ext cx="225244" cy="232761"/>
        </a:xfrm>
        <a:prstGeom prst="rect">
          <a:avLst/>
        </a:prstGeom>
      </xdr:spPr>
    </xdr:pic>
    <xdr:clientData/>
  </xdr:twoCellAnchor>
  <xdr:twoCellAnchor>
    <xdr:from>
      <xdr:col>2</xdr:col>
      <xdr:colOff>324560</xdr:colOff>
      <xdr:row>1</xdr:row>
      <xdr:rowOff>87086</xdr:rowOff>
    </xdr:from>
    <xdr:to>
      <xdr:col>3</xdr:col>
      <xdr:colOff>229310</xdr:colOff>
      <xdr:row>2</xdr:row>
      <xdr:rowOff>153761</xdr:rowOff>
    </xdr:to>
    <xdr:sp macro="" textlink="">
      <xdr:nvSpPr>
        <xdr:cNvPr id="7" name="TextBox 6">
          <a:extLst>
            <a:ext uri="{FF2B5EF4-FFF2-40B4-BE49-F238E27FC236}">
              <a16:creationId xmlns:a16="http://schemas.microsoft.com/office/drawing/2014/main" id="{3B8DA029-9F3C-4882-AF3B-7CDCDB8658D0}"/>
            </a:ext>
          </a:extLst>
        </xdr:cNvPr>
        <xdr:cNvSpPr txBox="1"/>
      </xdr:nvSpPr>
      <xdr:spPr>
        <a:xfrm>
          <a:off x="753185" y="134711"/>
          <a:ext cx="595313" cy="245269"/>
        </a:xfrm>
        <a:prstGeom prst="rect">
          <a:avLst/>
        </a:prstGeom>
        <a:noFill/>
        <a:ln w="9525" cmpd="sng">
          <a:solidFill>
            <a:schemeClr val="accent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Calls</a:t>
          </a:r>
        </a:p>
      </xdr:txBody>
    </xdr:sp>
    <xdr:clientData/>
  </xdr:twoCellAnchor>
  <xdr:twoCellAnchor>
    <xdr:from>
      <xdr:col>2</xdr:col>
      <xdr:colOff>642934</xdr:colOff>
      <xdr:row>5</xdr:row>
      <xdr:rowOff>31749</xdr:rowOff>
    </xdr:from>
    <xdr:to>
      <xdr:col>4</xdr:col>
      <xdr:colOff>13604</xdr:colOff>
      <xdr:row>6</xdr:row>
      <xdr:rowOff>115661</xdr:rowOff>
    </xdr:to>
    <xdr:sp macro="" textlink="pivots!A10">
      <xdr:nvSpPr>
        <xdr:cNvPr id="10" name="TextBox 9">
          <a:extLst>
            <a:ext uri="{FF2B5EF4-FFF2-40B4-BE49-F238E27FC236}">
              <a16:creationId xmlns:a16="http://schemas.microsoft.com/office/drawing/2014/main" id="{0C2C0337-5161-4F63-9D8C-ED77168A86DD}"/>
            </a:ext>
          </a:extLst>
        </xdr:cNvPr>
        <xdr:cNvSpPr txBox="1"/>
      </xdr:nvSpPr>
      <xdr:spPr>
        <a:xfrm>
          <a:off x="1071559" y="793749"/>
          <a:ext cx="751795" cy="262506"/>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algn="ctr"/>
          <a:fld id="{85702971-3316-4B61-A6AB-E661CCD5E6E5}" type="TxLink">
            <a:rPr lang="en-US" sz="1400" b="1" i="0" u="none" strike="noStrike">
              <a:solidFill>
                <a:schemeClr val="bg1"/>
              </a:solidFill>
              <a:latin typeface="Aptos"/>
            </a:rPr>
            <a:pPr algn="ctr"/>
            <a:t>1,000</a:t>
          </a:fld>
          <a:endParaRPr lang="en-IN" sz="1400" b="1">
            <a:solidFill>
              <a:schemeClr val="bg1"/>
            </a:solidFill>
          </a:endParaRPr>
        </a:p>
      </xdr:txBody>
    </xdr:sp>
    <xdr:clientData/>
  </xdr:twoCellAnchor>
  <xdr:twoCellAnchor>
    <xdr:from>
      <xdr:col>4</xdr:col>
      <xdr:colOff>142875</xdr:colOff>
      <xdr:row>1</xdr:row>
      <xdr:rowOff>57150</xdr:rowOff>
    </xdr:from>
    <xdr:to>
      <xdr:col>7</xdr:col>
      <xdr:colOff>188439</xdr:colOff>
      <xdr:row>6</xdr:row>
      <xdr:rowOff>135467</xdr:rowOff>
    </xdr:to>
    <xdr:sp macro="" textlink="pivots!B4">
      <xdr:nvSpPr>
        <xdr:cNvPr id="28" name="Rectangle 27">
          <a:extLst>
            <a:ext uri="{FF2B5EF4-FFF2-40B4-BE49-F238E27FC236}">
              <a16:creationId xmlns:a16="http://schemas.microsoft.com/office/drawing/2014/main" id="{440C528D-4329-49E6-BCBC-5797929B6383}"/>
            </a:ext>
          </a:extLst>
        </xdr:cNvPr>
        <xdr:cNvSpPr/>
      </xdr:nvSpPr>
      <xdr:spPr>
        <a:xfrm>
          <a:off x="1952625" y="104775"/>
          <a:ext cx="1593377"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74A68D56-5359-4B3D-B644-4AF1FE0FFCCC}" type="TxLink">
            <a:rPr lang="en-US" sz="2400" b="1" i="0" u="none" strike="noStrike">
              <a:solidFill>
                <a:srgbClr val="000000"/>
              </a:solidFill>
              <a:latin typeface="Aptos"/>
              <a:ea typeface="+mn-ea"/>
              <a:cs typeface="+mn-cs"/>
            </a:rPr>
            <a:pPr marL="0" indent="0" algn="ctr"/>
            <a:t>₹ 96,623</a:t>
          </a:fld>
          <a:endParaRPr lang="en-IN" sz="2400" b="1" i="0" u="none" strike="noStrike">
            <a:solidFill>
              <a:srgbClr val="000000"/>
            </a:solidFill>
            <a:latin typeface="Aptos"/>
            <a:ea typeface="+mn-ea"/>
            <a:cs typeface="+mn-cs"/>
          </a:endParaRPr>
        </a:p>
      </xdr:txBody>
    </xdr:sp>
    <xdr:clientData/>
  </xdr:twoCellAnchor>
  <xdr:twoCellAnchor>
    <xdr:from>
      <xdr:col>5</xdr:col>
      <xdr:colOff>244736</xdr:colOff>
      <xdr:row>0</xdr:row>
      <xdr:rowOff>33602</xdr:rowOff>
    </xdr:from>
    <xdr:to>
      <xdr:col>7</xdr:col>
      <xdr:colOff>212984</xdr:colOff>
      <xdr:row>3</xdr:row>
      <xdr:rowOff>62177</xdr:rowOff>
    </xdr:to>
    <xdr:sp macro="" textlink="">
      <xdr:nvSpPr>
        <xdr:cNvPr id="30" name="TextBox 29">
          <a:extLst>
            <a:ext uri="{FF2B5EF4-FFF2-40B4-BE49-F238E27FC236}">
              <a16:creationId xmlns:a16="http://schemas.microsoft.com/office/drawing/2014/main" id="{AC1CBBDD-E616-446F-BFBD-B7A3CF755E93}"/>
            </a:ext>
          </a:extLst>
        </xdr:cNvPr>
        <xdr:cNvSpPr txBox="1"/>
      </xdr:nvSpPr>
      <xdr:spPr>
        <a:xfrm>
          <a:off x="2221174" y="33602"/>
          <a:ext cx="1349373" cy="433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baseline="0">
              <a:solidFill>
                <a:schemeClr val="bg1"/>
              </a:solidFill>
            </a:rPr>
            <a:t> Amount</a:t>
          </a:r>
          <a:endParaRPr lang="en-IN" sz="1600" b="1" u="sng">
            <a:solidFill>
              <a:schemeClr val="bg1"/>
            </a:solidFill>
          </a:endParaRPr>
        </a:p>
      </xdr:txBody>
    </xdr:sp>
    <xdr:clientData/>
  </xdr:twoCellAnchor>
  <xdr:twoCellAnchor>
    <xdr:from>
      <xdr:col>5</xdr:col>
      <xdr:colOff>600600</xdr:colOff>
      <xdr:row>5</xdr:row>
      <xdr:rowOff>21166</xdr:rowOff>
    </xdr:from>
    <xdr:to>
      <xdr:col>7</xdr:col>
      <xdr:colOff>171823</xdr:colOff>
      <xdr:row>6</xdr:row>
      <xdr:rowOff>105834</xdr:rowOff>
    </xdr:to>
    <xdr:sp macro="" textlink="pivots!B10">
      <xdr:nvSpPr>
        <xdr:cNvPr id="31" name="TextBox 30">
          <a:extLst>
            <a:ext uri="{FF2B5EF4-FFF2-40B4-BE49-F238E27FC236}">
              <a16:creationId xmlns:a16="http://schemas.microsoft.com/office/drawing/2014/main" id="{EBB44604-0A39-4C4C-B9FF-E81E896DCC22}"/>
            </a:ext>
          </a:extLst>
        </xdr:cNvPr>
        <xdr:cNvSpPr txBox="1"/>
      </xdr:nvSpPr>
      <xdr:spPr>
        <a:xfrm>
          <a:off x="2577038" y="783166"/>
          <a:ext cx="952348" cy="263262"/>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8E2014D7-8DD2-4C35-A995-ACF4BAA41DEC}" type="TxLink">
            <a:rPr lang="en-US" sz="1400" b="1" i="0" u="none" strike="noStrike">
              <a:solidFill>
                <a:schemeClr val="bg1"/>
              </a:solidFill>
              <a:latin typeface="Aptos"/>
              <a:ea typeface="+mn-ea"/>
              <a:cs typeface="+mn-cs"/>
            </a:rPr>
            <a:pPr marL="0" indent="0" algn="ctr"/>
            <a:t>₹ 96,623</a:t>
          </a:fld>
          <a:endParaRPr lang="en-IN" sz="1400" b="1" i="0" u="none" strike="noStrike">
            <a:solidFill>
              <a:schemeClr val="bg1"/>
            </a:solidFill>
            <a:latin typeface="Aptos"/>
            <a:ea typeface="+mn-ea"/>
            <a:cs typeface="+mn-cs"/>
          </a:endParaRPr>
        </a:p>
      </xdr:txBody>
    </xdr:sp>
    <xdr:clientData/>
  </xdr:twoCellAnchor>
  <xdr:twoCellAnchor>
    <xdr:from>
      <xdr:col>7</xdr:col>
      <xdr:colOff>285749</xdr:colOff>
      <xdr:row>1</xdr:row>
      <xdr:rowOff>54769</xdr:rowOff>
    </xdr:from>
    <xdr:to>
      <xdr:col>10</xdr:col>
      <xdr:colOff>188439</xdr:colOff>
      <xdr:row>6</xdr:row>
      <xdr:rowOff>133086</xdr:rowOff>
    </xdr:to>
    <xdr:sp macro="" textlink="pivots!C4">
      <xdr:nvSpPr>
        <xdr:cNvPr id="32" name="Rectangle 31">
          <a:extLst>
            <a:ext uri="{FF2B5EF4-FFF2-40B4-BE49-F238E27FC236}">
              <a16:creationId xmlns:a16="http://schemas.microsoft.com/office/drawing/2014/main" id="{B287C2DD-C030-4662-9E7F-E2F32F864E33}"/>
            </a:ext>
          </a:extLst>
        </xdr:cNvPr>
        <xdr:cNvSpPr/>
      </xdr:nvSpPr>
      <xdr:spPr>
        <a:xfrm>
          <a:off x="3643312" y="102394"/>
          <a:ext cx="1593377"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6006E03E-F40B-4D98-802A-028C9EE633CE}" type="TxLink">
            <a:rPr lang="en-US" sz="2400" b="1" i="0" u="none" strike="noStrike">
              <a:solidFill>
                <a:srgbClr val="000000"/>
              </a:solidFill>
              <a:latin typeface="Aptos"/>
              <a:ea typeface="+mn-ea"/>
              <a:cs typeface="+mn-cs"/>
            </a:rPr>
            <a:pPr marL="0" indent="0" algn="ctr"/>
            <a:t>89,850</a:t>
          </a:fld>
          <a:endParaRPr lang="en-IN" sz="2400" b="1" i="0" u="none" strike="noStrike">
            <a:solidFill>
              <a:srgbClr val="000000"/>
            </a:solidFill>
            <a:latin typeface="Aptos"/>
            <a:ea typeface="+mn-ea"/>
            <a:cs typeface="+mn-cs"/>
          </a:endParaRPr>
        </a:p>
      </xdr:txBody>
    </xdr:sp>
    <xdr:clientData/>
  </xdr:twoCellAnchor>
  <xdr:twoCellAnchor>
    <xdr:from>
      <xdr:col>8</xdr:col>
      <xdr:colOff>377216</xdr:colOff>
      <xdr:row>1</xdr:row>
      <xdr:rowOff>56923</xdr:rowOff>
    </xdr:from>
    <xdr:to>
      <xdr:col>10</xdr:col>
      <xdr:colOff>21163</xdr:colOff>
      <xdr:row>2</xdr:row>
      <xdr:rowOff>145521</xdr:rowOff>
    </xdr:to>
    <xdr:sp macro="" textlink="">
      <xdr:nvSpPr>
        <xdr:cNvPr id="34" name="TextBox 33">
          <a:extLst>
            <a:ext uri="{FF2B5EF4-FFF2-40B4-BE49-F238E27FC236}">
              <a16:creationId xmlns:a16="http://schemas.microsoft.com/office/drawing/2014/main" id="{3EAA8D4F-47F0-4151-99DA-20FF9DBB4B52}"/>
            </a:ext>
          </a:extLst>
        </xdr:cNvPr>
        <xdr:cNvSpPr txBox="1"/>
      </xdr:nvSpPr>
      <xdr:spPr>
        <a:xfrm>
          <a:off x="4044341" y="104548"/>
          <a:ext cx="1025072" cy="267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Duration</a:t>
          </a:r>
        </a:p>
      </xdr:txBody>
    </xdr:sp>
    <xdr:clientData/>
  </xdr:twoCellAnchor>
  <xdr:twoCellAnchor>
    <xdr:from>
      <xdr:col>9</xdr:col>
      <xdr:colOff>91277</xdr:colOff>
      <xdr:row>5</xdr:row>
      <xdr:rowOff>19844</xdr:rowOff>
    </xdr:from>
    <xdr:to>
      <xdr:col>10</xdr:col>
      <xdr:colOff>169443</xdr:colOff>
      <xdr:row>6</xdr:row>
      <xdr:rowOff>104511</xdr:rowOff>
    </xdr:to>
    <xdr:sp macro="" textlink="pivots!C10">
      <xdr:nvSpPr>
        <xdr:cNvPr id="35" name="TextBox 34">
          <a:extLst>
            <a:ext uri="{FF2B5EF4-FFF2-40B4-BE49-F238E27FC236}">
              <a16:creationId xmlns:a16="http://schemas.microsoft.com/office/drawing/2014/main" id="{5E05F69C-396E-43F4-9A2C-10428E2CB00C}"/>
            </a:ext>
          </a:extLst>
        </xdr:cNvPr>
        <xdr:cNvSpPr txBox="1"/>
      </xdr:nvSpPr>
      <xdr:spPr>
        <a:xfrm>
          <a:off x="4448965" y="781844"/>
          <a:ext cx="768728" cy="263261"/>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826C076F-931C-42A5-81B3-92CAD162134C}" type="TxLink">
            <a:rPr lang="en-US" sz="1400" b="1" i="0" u="none" strike="noStrike">
              <a:solidFill>
                <a:schemeClr val="bg1"/>
              </a:solidFill>
              <a:latin typeface="Aptos"/>
              <a:ea typeface="+mn-ea"/>
              <a:cs typeface="+mn-cs"/>
            </a:rPr>
            <a:pPr marL="0" indent="0" algn="ctr"/>
            <a:t>89,850</a:t>
          </a:fld>
          <a:endParaRPr lang="en-IN" sz="1400" b="1" i="0" u="none" strike="noStrike">
            <a:solidFill>
              <a:schemeClr val="bg1"/>
            </a:solidFill>
            <a:latin typeface="Aptos"/>
            <a:ea typeface="+mn-ea"/>
            <a:cs typeface="+mn-cs"/>
          </a:endParaRPr>
        </a:p>
      </xdr:txBody>
    </xdr:sp>
    <xdr:clientData/>
  </xdr:twoCellAnchor>
  <xdr:twoCellAnchor>
    <xdr:from>
      <xdr:col>11</xdr:col>
      <xdr:colOff>35717</xdr:colOff>
      <xdr:row>1</xdr:row>
      <xdr:rowOff>71437</xdr:rowOff>
    </xdr:from>
    <xdr:to>
      <xdr:col>13</xdr:col>
      <xdr:colOff>247969</xdr:colOff>
      <xdr:row>6</xdr:row>
      <xdr:rowOff>149754</xdr:rowOff>
    </xdr:to>
    <xdr:sp macro="" textlink="pivots!D4">
      <xdr:nvSpPr>
        <xdr:cNvPr id="36" name="Rectangle 35">
          <a:extLst>
            <a:ext uri="{FF2B5EF4-FFF2-40B4-BE49-F238E27FC236}">
              <a16:creationId xmlns:a16="http://schemas.microsoft.com/office/drawing/2014/main" id="{B25D93FF-131C-4474-917A-118CA2DFB85A}"/>
            </a:ext>
          </a:extLst>
        </xdr:cNvPr>
        <xdr:cNvSpPr/>
      </xdr:nvSpPr>
      <xdr:spPr>
        <a:xfrm>
          <a:off x="5345905" y="119062"/>
          <a:ext cx="1593377"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F46E1F48-3EDA-4431-8103-61EA808D2207}" type="TxLink">
            <a:rPr lang="en-US" sz="2400" b="1" i="0" u="none" strike="noStrike">
              <a:solidFill>
                <a:srgbClr val="000000"/>
              </a:solidFill>
              <a:latin typeface="Aptos"/>
              <a:ea typeface="+mn-ea"/>
              <a:cs typeface="+mn-cs"/>
            </a:rPr>
            <a:pPr marL="0" indent="0" algn="ctr"/>
            <a:t>3.96</a:t>
          </a:fld>
          <a:endParaRPr lang="en-IN" sz="2400" b="1" i="0" u="none" strike="noStrike">
            <a:solidFill>
              <a:srgbClr val="000000"/>
            </a:solidFill>
            <a:latin typeface="Aptos"/>
            <a:ea typeface="+mn-ea"/>
            <a:cs typeface="+mn-cs"/>
          </a:endParaRPr>
        </a:p>
      </xdr:txBody>
    </xdr:sp>
    <xdr:clientData/>
  </xdr:twoCellAnchor>
  <xdr:twoCellAnchor>
    <xdr:from>
      <xdr:col>11</xdr:col>
      <xdr:colOff>493631</xdr:colOff>
      <xdr:row>1</xdr:row>
      <xdr:rowOff>8769</xdr:rowOff>
    </xdr:from>
    <xdr:to>
      <xdr:col>12</xdr:col>
      <xdr:colOff>624411</xdr:colOff>
      <xdr:row>3</xdr:row>
      <xdr:rowOff>21167</xdr:rowOff>
    </xdr:to>
    <xdr:sp macro="" textlink="">
      <xdr:nvSpPr>
        <xdr:cNvPr id="38" name="TextBox 37">
          <a:extLst>
            <a:ext uri="{FF2B5EF4-FFF2-40B4-BE49-F238E27FC236}">
              <a16:creationId xmlns:a16="http://schemas.microsoft.com/office/drawing/2014/main" id="{B162D99C-E4F9-4356-B1B4-C05DA050C852}"/>
            </a:ext>
          </a:extLst>
        </xdr:cNvPr>
        <xdr:cNvSpPr txBox="1"/>
      </xdr:nvSpPr>
      <xdr:spPr>
        <a:xfrm>
          <a:off x="5795881" y="188686"/>
          <a:ext cx="818697" cy="3722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Rating</a:t>
          </a:r>
        </a:p>
      </xdr:txBody>
    </xdr:sp>
    <xdr:clientData/>
  </xdr:twoCellAnchor>
  <xdr:twoCellAnchor>
    <xdr:from>
      <xdr:col>12</xdr:col>
      <xdr:colOff>365120</xdr:colOff>
      <xdr:row>5</xdr:row>
      <xdr:rowOff>37039</xdr:rowOff>
    </xdr:from>
    <xdr:to>
      <xdr:col>13</xdr:col>
      <xdr:colOff>228972</xdr:colOff>
      <xdr:row>6</xdr:row>
      <xdr:rowOff>128095</xdr:rowOff>
    </xdr:to>
    <xdr:sp macro="" textlink="pivots!D10">
      <xdr:nvSpPr>
        <xdr:cNvPr id="39" name="TextBox 38">
          <a:extLst>
            <a:ext uri="{FF2B5EF4-FFF2-40B4-BE49-F238E27FC236}">
              <a16:creationId xmlns:a16="http://schemas.microsoft.com/office/drawing/2014/main" id="{042789F2-195B-4C2E-A79D-7669541C2D9A}"/>
            </a:ext>
          </a:extLst>
        </xdr:cNvPr>
        <xdr:cNvSpPr txBox="1"/>
      </xdr:nvSpPr>
      <xdr:spPr>
        <a:xfrm>
          <a:off x="6365870" y="799039"/>
          <a:ext cx="554415" cy="269650"/>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5B113F83-05CF-4FA9-979A-D49F54543FE2}" type="TxLink">
            <a:rPr lang="en-US" sz="1400" b="1" i="0" u="none" strike="noStrike">
              <a:solidFill>
                <a:schemeClr val="bg1"/>
              </a:solidFill>
              <a:latin typeface="Aptos"/>
              <a:ea typeface="+mn-ea"/>
              <a:cs typeface="+mn-cs"/>
            </a:rPr>
            <a:pPr marL="0" indent="0" algn="ctr"/>
            <a:t>3.96</a:t>
          </a:fld>
          <a:endParaRPr lang="en-IN" sz="1400" b="1" i="0" u="none" strike="noStrike">
            <a:solidFill>
              <a:schemeClr val="bg1"/>
            </a:solidFill>
            <a:latin typeface="Aptos"/>
            <a:ea typeface="+mn-ea"/>
            <a:cs typeface="+mn-cs"/>
          </a:endParaRPr>
        </a:p>
      </xdr:txBody>
    </xdr:sp>
    <xdr:clientData/>
  </xdr:twoCellAnchor>
  <xdr:twoCellAnchor>
    <xdr:from>
      <xdr:col>14</xdr:col>
      <xdr:colOff>119059</xdr:colOff>
      <xdr:row>1</xdr:row>
      <xdr:rowOff>50006</xdr:rowOff>
    </xdr:from>
    <xdr:to>
      <xdr:col>17</xdr:col>
      <xdr:colOff>45561</xdr:colOff>
      <xdr:row>6</xdr:row>
      <xdr:rowOff>128323</xdr:rowOff>
    </xdr:to>
    <xdr:sp macro="" textlink="pivots!E4">
      <xdr:nvSpPr>
        <xdr:cNvPr id="40" name="Rectangle 39">
          <a:extLst>
            <a:ext uri="{FF2B5EF4-FFF2-40B4-BE49-F238E27FC236}">
              <a16:creationId xmlns:a16="http://schemas.microsoft.com/office/drawing/2014/main" id="{6B7BDBFD-CD3F-43AB-BC02-14BD44EA1575}"/>
            </a:ext>
          </a:extLst>
        </xdr:cNvPr>
        <xdr:cNvSpPr/>
      </xdr:nvSpPr>
      <xdr:spPr>
        <a:xfrm>
          <a:off x="7072309" y="97631"/>
          <a:ext cx="1593377"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6B5D2053-D808-438A-BC72-EBC6BB9A6C30}" type="TxLink">
            <a:rPr lang="en-US" sz="2400" b="1" i="0" u="none" strike="noStrike">
              <a:solidFill>
                <a:srgbClr val="000000"/>
              </a:solidFill>
              <a:latin typeface="Aptos"/>
              <a:ea typeface="+mn-ea"/>
              <a:cs typeface="+mn-cs"/>
            </a:rPr>
            <a:pPr marL="0" indent="0" algn="ctr"/>
            <a:t>307</a:t>
          </a:fld>
          <a:endParaRPr lang="en-IN" sz="2400" b="1" i="0" u="none" strike="noStrike">
            <a:solidFill>
              <a:srgbClr val="000000"/>
            </a:solidFill>
            <a:latin typeface="Aptos"/>
            <a:ea typeface="+mn-ea"/>
            <a:cs typeface="+mn-cs"/>
          </a:endParaRPr>
        </a:p>
      </xdr:txBody>
    </xdr:sp>
    <xdr:clientData/>
  </xdr:twoCellAnchor>
  <xdr:twoCellAnchor>
    <xdr:from>
      <xdr:col>14</xdr:col>
      <xdr:colOff>505536</xdr:colOff>
      <xdr:row>1</xdr:row>
      <xdr:rowOff>83910</xdr:rowOff>
    </xdr:from>
    <xdr:to>
      <xdr:col>16</xdr:col>
      <xdr:colOff>178588</xdr:colOff>
      <xdr:row>2</xdr:row>
      <xdr:rowOff>158750</xdr:rowOff>
    </xdr:to>
    <xdr:sp macro="" textlink="">
      <xdr:nvSpPr>
        <xdr:cNvPr id="42" name="TextBox 41">
          <a:extLst>
            <a:ext uri="{FF2B5EF4-FFF2-40B4-BE49-F238E27FC236}">
              <a16:creationId xmlns:a16="http://schemas.microsoft.com/office/drawing/2014/main" id="{BE03C2BC-6C33-4B2A-941F-D46DE3D0AB60}"/>
            </a:ext>
          </a:extLst>
        </xdr:cNvPr>
        <xdr:cNvSpPr txBox="1"/>
      </xdr:nvSpPr>
      <xdr:spPr>
        <a:xfrm>
          <a:off x="7458786" y="131535"/>
          <a:ext cx="1054177" cy="253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5*</a:t>
          </a:r>
          <a:r>
            <a:rPr lang="en-IN" sz="1600" b="1" u="sng" baseline="0">
              <a:solidFill>
                <a:schemeClr val="bg1"/>
              </a:solidFill>
            </a:rPr>
            <a:t> Calls##</a:t>
          </a:r>
          <a:endParaRPr lang="en-IN" sz="1600" b="1" u="sng">
            <a:solidFill>
              <a:schemeClr val="bg1"/>
            </a:solidFill>
          </a:endParaRPr>
        </a:p>
      </xdr:txBody>
    </xdr:sp>
    <xdr:clientData/>
  </xdr:twoCellAnchor>
  <xdr:twoCellAnchor>
    <xdr:from>
      <xdr:col>15</xdr:col>
      <xdr:colOff>480212</xdr:colOff>
      <xdr:row>5</xdr:row>
      <xdr:rowOff>2644</xdr:rowOff>
    </xdr:from>
    <xdr:to>
      <xdr:col>17</xdr:col>
      <xdr:colOff>26565</xdr:colOff>
      <xdr:row>6</xdr:row>
      <xdr:rowOff>94758</xdr:rowOff>
    </xdr:to>
    <xdr:sp macro="" textlink="pivots!E10">
      <xdr:nvSpPr>
        <xdr:cNvPr id="43" name="TextBox 42">
          <a:extLst>
            <a:ext uri="{FF2B5EF4-FFF2-40B4-BE49-F238E27FC236}">
              <a16:creationId xmlns:a16="http://schemas.microsoft.com/office/drawing/2014/main" id="{4354915E-EF50-4CC1-A216-ECCF5D2E015D}"/>
            </a:ext>
          </a:extLst>
        </xdr:cNvPr>
        <xdr:cNvSpPr txBox="1"/>
      </xdr:nvSpPr>
      <xdr:spPr>
        <a:xfrm>
          <a:off x="8124025" y="764644"/>
          <a:ext cx="522665" cy="270708"/>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5715F6A5-D452-44B8-8343-B97166780BBE}" type="TxLink">
            <a:rPr lang="en-US" sz="1400" b="1" i="0" u="none" strike="noStrike">
              <a:solidFill>
                <a:schemeClr val="bg1"/>
              </a:solidFill>
              <a:latin typeface="Aptos"/>
              <a:ea typeface="+mn-ea"/>
              <a:cs typeface="+mn-cs"/>
            </a:rPr>
            <a:pPr marL="0" indent="0" algn="ctr"/>
            <a:t>307</a:t>
          </a:fld>
          <a:endParaRPr lang="en-IN" sz="1400" b="1" i="0" u="none" strike="noStrike">
            <a:solidFill>
              <a:schemeClr val="bg1"/>
            </a:solidFill>
            <a:latin typeface="Aptos"/>
            <a:ea typeface="+mn-ea"/>
            <a:cs typeface="+mn-cs"/>
          </a:endParaRPr>
        </a:p>
      </xdr:txBody>
    </xdr:sp>
    <xdr:clientData/>
  </xdr:twoCellAnchor>
  <xdr:twoCellAnchor editAs="oneCell">
    <xdr:from>
      <xdr:col>14</xdr:col>
      <xdr:colOff>226379</xdr:colOff>
      <xdr:row>7</xdr:row>
      <xdr:rowOff>71436</xdr:rowOff>
    </xdr:from>
    <xdr:to>
      <xdr:col>17</xdr:col>
      <xdr:colOff>991530</xdr:colOff>
      <xdr:row>21</xdr:row>
      <xdr:rowOff>137624</xdr:rowOff>
    </xdr:to>
    <mc:AlternateContent xmlns:mc="http://schemas.openxmlformats.org/markup-compatibility/2006">
      <mc:Choice xmlns:a14="http://schemas.microsoft.com/office/drawing/2010/main" Requires="a14">
        <xdr:graphicFrame macro="">
          <xdr:nvGraphicFramePr>
            <xdr:cNvPr id="44" name="Representative">
              <a:extLst>
                <a:ext uri="{FF2B5EF4-FFF2-40B4-BE49-F238E27FC236}">
                  <a16:creationId xmlns:a16="http://schemas.microsoft.com/office/drawing/2014/main" id="{2D592165-672D-482C-86BC-F290E0657F5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7179629" y="1190624"/>
              <a:ext cx="2432026" cy="237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214312</xdr:colOff>
      <xdr:row>1</xdr:row>
      <xdr:rowOff>42332</xdr:rowOff>
    </xdr:from>
    <xdr:to>
      <xdr:col>18</xdr:col>
      <xdr:colOff>654843</xdr:colOff>
      <xdr:row>6</xdr:row>
      <xdr:rowOff>120649</xdr:rowOff>
    </xdr:to>
    <xdr:sp macro="" textlink="pivots!F4">
      <xdr:nvSpPr>
        <xdr:cNvPr id="45" name="Rectangle 44">
          <a:extLst>
            <a:ext uri="{FF2B5EF4-FFF2-40B4-BE49-F238E27FC236}">
              <a16:creationId xmlns:a16="http://schemas.microsoft.com/office/drawing/2014/main" id="{B424693C-D3FA-4CEE-A922-CA9A0450E46F}"/>
            </a:ext>
          </a:extLst>
        </xdr:cNvPr>
        <xdr:cNvSpPr/>
      </xdr:nvSpPr>
      <xdr:spPr>
        <a:xfrm>
          <a:off x="8834437" y="89957"/>
          <a:ext cx="1535906" cy="971286"/>
        </a:xfrm>
        <a:prstGeom prst="rect">
          <a:avLst/>
        </a:prstGeom>
        <a:ln>
          <a:solidFill>
            <a:schemeClr val="tx1"/>
          </a:solidFill>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marL="0" indent="0" algn="ctr"/>
          <a:fld id="{200FDACB-D00A-4E57-A36F-457C1FFC758F}" type="TxLink">
            <a:rPr lang="en-US" sz="2400" b="1" i="0" u="none" strike="noStrike">
              <a:solidFill>
                <a:srgbClr val="000000"/>
              </a:solidFill>
              <a:latin typeface="Aptos"/>
              <a:ea typeface="+mn-ea"/>
              <a:cs typeface="+mn-cs"/>
            </a:rPr>
            <a:pPr marL="0" indent="0" algn="ctr"/>
            <a:t>₹ 96.62</a:t>
          </a:fld>
          <a:endParaRPr lang="en-IN" sz="2400" b="1" i="0" u="none" strike="noStrike">
            <a:solidFill>
              <a:srgbClr val="000000"/>
            </a:solidFill>
            <a:latin typeface="Aptos"/>
            <a:ea typeface="+mn-ea"/>
            <a:cs typeface="+mn-cs"/>
          </a:endParaRPr>
        </a:p>
      </xdr:txBody>
    </xdr:sp>
    <xdr:clientData/>
  </xdr:twoCellAnchor>
  <xdr:twoCellAnchor>
    <xdr:from>
      <xdr:col>17</xdr:col>
      <xdr:colOff>328081</xdr:colOff>
      <xdr:row>1</xdr:row>
      <xdr:rowOff>74080</xdr:rowOff>
    </xdr:from>
    <xdr:to>
      <xdr:col>18</xdr:col>
      <xdr:colOff>357188</xdr:colOff>
      <xdr:row>3</xdr:row>
      <xdr:rowOff>11905</xdr:rowOff>
    </xdr:to>
    <xdr:sp macro="" textlink="">
      <xdr:nvSpPr>
        <xdr:cNvPr id="46" name="TextBox 45">
          <a:extLst>
            <a:ext uri="{FF2B5EF4-FFF2-40B4-BE49-F238E27FC236}">
              <a16:creationId xmlns:a16="http://schemas.microsoft.com/office/drawing/2014/main" id="{982C1C17-43F0-46B7-A1F0-61E445F6B0FC}"/>
            </a:ext>
          </a:extLst>
        </xdr:cNvPr>
        <xdr:cNvSpPr txBox="1"/>
      </xdr:nvSpPr>
      <xdr:spPr>
        <a:xfrm>
          <a:off x="8948206" y="121705"/>
          <a:ext cx="1124482" cy="295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u="sng">
              <a:solidFill>
                <a:schemeClr val="bg1"/>
              </a:solidFill>
            </a:rPr>
            <a:t>₹ Per</a:t>
          </a:r>
          <a:r>
            <a:rPr lang="en-IN" sz="1600" b="1" u="sng" baseline="0">
              <a:solidFill>
                <a:schemeClr val="bg1"/>
              </a:solidFill>
            </a:rPr>
            <a:t> call</a:t>
          </a:r>
          <a:endParaRPr lang="en-IN" sz="1600" b="1" u="sng">
            <a:solidFill>
              <a:schemeClr val="bg1"/>
            </a:solidFill>
          </a:endParaRPr>
        </a:p>
      </xdr:txBody>
    </xdr:sp>
    <xdr:clientData/>
  </xdr:twoCellAnchor>
  <xdr:twoCellAnchor>
    <xdr:from>
      <xdr:col>17</xdr:col>
      <xdr:colOff>792421</xdr:colOff>
      <xdr:row>4</xdr:row>
      <xdr:rowOff>148166</xdr:rowOff>
    </xdr:from>
    <xdr:to>
      <xdr:col>18</xdr:col>
      <xdr:colOff>631025</xdr:colOff>
      <xdr:row>6</xdr:row>
      <xdr:rowOff>84667</xdr:rowOff>
    </xdr:to>
    <xdr:sp macro="" textlink="pivots!F10">
      <xdr:nvSpPr>
        <xdr:cNvPr id="47" name="TextBox 46">
          <a:extLst>
            <a:ext uri="{FF2B5EF4-FFF2-40B4-BE49-F238E27FC236}">
              <a16:creationId xmlns:a16="http://schemas.microsoft.com/office/drawing/2014/main" id="{C7B4A638-7EBC-4824-B2AA-96D3F8E30D26}"/>
            </a:ext>
          </a:extLst>
        </xdr:cNvPr>
        <xdr:cNvSpPr txBox="1"/>
      </xdr:nvSpPr>
      <xdr:spPr>
        <a:xfrm>
          <a:off x="9412546" y="731572"/>
          <a:ext cx="933979" cy="293689"/>
        </a:xfrm>
        <a:prstGeom prst="rect">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wrap="square" rtlCol="0" anchor="ctr"/>
        <a:lstStyle/>
        <a:p>
          <a:pPr marL="0" indent="0" algn="ctr"/>
          <a:fld id="{38086B41-4448-406B-A4A3-B4DD57D7710D}" type="TxLink">
            <a:rPr lang="en-US" sz="1400" b="1" i="0" u="none" strike="noStrike">
              <a:solidFill>
                <a:schemeClr val="bg1"/>
              </a:solidFill>
              <a:latin typeface="Aptos"/>
              <a:ea typeface="+mn-ea"/>
              <a:cs typeface="+mn-cs"/>
            </a:rPr>
            <a:pPr marL="0" indent="0" algn="ctr"/>
            <a:t>₹ 96.62</a:t>
          </a:fld>
          <a:endParaRPr lang="en-IN" sz="1400" b="1" i="0" u="none" strike="noStrike">
            <a:solidFill>
              <a:schemeClr val="bg1"/>
            </a:solidFill>
            <a:latin typeface="Aptos"/>
            <a:ea typeface="+mn-ea"/>
            <a:cs typeface="+mn-cs"/>
          </a:endParaRPr>
        </a:p>
      </xdr:txBody>
    </xdr:sp>
    <xdr:clientData/>
  </xdr:twoCellAnchor>
  <xdr:twoCellAnchor editAs="oneCell">
    <xdr:from>
      <xdr:col>8</xdr:col>
      <xdr:colOff>64823</xdr:colOff>
      <xdr:row>1</xdr:row>
      <xdr:rowOff>117737</xdr:rowOff>
    </xdr:from>
    <xdr:to>
      <xdr:col>8</xdr:col>
      <xdr:colOff>324065</xdr:colOff>
      <xdr:row>3</xdr:row>
      <xdr:rowOff>13228</xdr:rowOff>
    </xdr:to>
    <xdr:pic>
      <xdr:nvPicPr>
        <xdr:cNvPr id="48" name="Graphic 47" descr="Hourglass Finished with solid fill">
          <a:extLst>
            <a:ext uri="{FF2B5EF4-FFF2-40B4-BE49-F238E27FC236}">
              <a16:creationId xmlns:a16="http://schemas.microsoft.com/office/drawing/2014/main" id="{C7A26D76-B411-4DDF-B2F4-2088FE32F4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rot="2237104">
          <a:off x="3731948" y="165362"/>
          <a:ext cx="259242" cy="252679"/>
        </a:xfrm>
        <a:prstGeom prst="rect">
          <a:avLst/>
        </a:prstGeom>
      </xdr:spPr>
    </xdr:pic>
    <xdr:clientData/>
  </xdr:twoCellAnchor>
  <xdr:twoCellAnchor editAs="oneCell">
    <xdr:from>
      <xdr:col>14</xdr:col>
      <xdr:colOff>129643</xdr:colOff>
      <xdr:row>1</xdr:row>
      <xdr:rowOff>54239</xdr:rowOff>
    </xdr:from>
    <xdr:to>
      <xdr:col>14</xdr:col>
      <xdr:colOff>438464</xdr:colOff>
      <xdr:row>2</xdr:row>
      <xdr:rowOff>170656</xdr:rowOff>
    </xdr:to>
    <xdr:pic>
      <xdr:nvPicPr>
        <xdr:cNvPr id="49" name="Graphic 48" descr="Star-struck face outline with solid fill">
          <a:extLst>
            <a:ext uri="{FF2B5EF4-FFF2-40B4-BE49-F238E27FC236}">
              <a16:creationId xmlns:a16="http://schemas.microsoft.com/office/drawing/2014/main" id="{464F7CA2-5DB6-4ADC-B0AA-512A97DB205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082893" y="101864"/>
          <a:ext cx="308821" cy="295011"/>
        </a:xfrm>
        <a:prstGeom prst="rect">
          <a:avLst/>
        </a:prstGeom>
      </xdr:spPr>
    </xdr:pic>
    <xdr:clientData/>
  </xdr:twoCellAnchor>
  <xdr:twoCellAnchor editAs="oneCell">
    <xdr:from>
      <xdr:col>17</xdr:col>
      <xdr:colOff>967049</xdr:colOff>
      <xdr:row>7</xdr:row>
      <xdr:rowOff>75406</xdr:rowOff>
    </xdr:from>
    <xdr:to>
      <xdr:col>19</xdr:col>
      <xdr:colOff>154780</xdr:colOff>
      <xdr:row>15</xdr:row>
      <xdr:rowOff>7228</xdr:rowOff>
    </xdr:to>
    <xdr:pic>
      <xdr:nvPicPr>
        <xdr:cNvPr id="50" name="Graphic 49" descr="Call center with solid fill">
          <a:extLst>
            <a:ext uri="{FF2B5EF4-FFF2-40B4-BE49-F238E27FC236}">
              <a16:creationId xmlns:a16="http://schemas.microsoft.com/office/drawing/2014/main" id="{8490E19A-C5FD-4E85-9A15-5A7715EF60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587174" y="1194594"/>
          <a:ext cx="1235606" cy="1217697"/>
        </a:xfrm>
        <a:prstGeom prst="rect">
          <a:avLst/>
        </a:prstGeom>
        <a:effectLst>
          <a:glow rad="127000">
            <a:schemeClr val="tx1">
              <a:lumMod val="65000"/>
              <a:lumOff val="35000"/>
              <a:alpha val="28000"/>
            </a:schemeClr>
          </a:glow>
          <a:outerShdw blurRad="76200" dir="18900000" sy="23000" kx="-1200000" algn="bl" rotWithShape="0">
            <a:prstClr val="black">
              <a:alpha val="15000"/>
            </a:prstClr>
          </a:outerShdw>
        </a:effectLst>
      </xdr:spPr>
    </xdr:pic>
    <xdr:clientData/>
  </xdr:twoCellAnchor>
  <xdr:twoCellAnchor editAs="oneCell">
    <xdr:from>
      <xdr:col>5</xdr:col>
      <xdr:colOff>43657</xdr:colOff>
      <xdr:row>1</xdr:row>
      <xdr:rowOff>96573</xdr:rowOff>
    </xdr:from>
    <xdr:to>
      <xdr:col>5</xdr:col>
      <xdr:colOff>350573</xdr:colOff>
      <xdr:row>3</xdr:row>
      <xdr:rowOff>25039</xdr:rowOff>
    </xdr:to>
    <xdr:pic>
      <xdr:nvPicPr>
        <xdr:cNvPr id="51" name="Graphic 50" descr="Shopping cart with solid fill">
          <a:extLst>
            <a:ext uri="{FF2B5EF4-FFF2-40B4-BE49-F238E27FC236}">
              <a16:creationId xmlns:a16="http://schemas.microsoft.com/office/drawing/2014/main" id="{DBC03194-6103-46CB-97A0-6CFA5F8968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20095" y="144198"/>
          <a:ext cx="306916" cy="285654"/>
        </a:xfrm>
        <a:prstGeom prst="rect">
          <a:avLst/>
        </a:prstGeom>
      </xdr:spPr>
    </xdr:pic>
    <xdr:clientData/>
  </xdr:twoCellAnchor>
  <xdr:twoCellAnchor editAs="oneCell">
    <xdr:from>
      <xdr:col>11</xdr:col>
      <xdr:colOff>99218</xdr:colOff>
      <xdr:row>1</xdr:row>
      <xdr:rowOff>33074</xdr:rowOff>
    </xdr:from>
    <xdr:to>
      <xdr:col>11</xdr:col>
      <xdr:colOff>419008</xdr:colOff>
      <xdr:row>2</xdr:row>
      <xdr:rowOff>160074</xdr:rowOff>
    </xdr:to>
    <xdr:pic>
      <xdr:nvPicPr>
        <xdr:cNvPr id="52" name="Graphic 51" descr="Rating Star with solid fill">
          <a:extLst>
            <a:ext uri="{FF2B5EF4-FFF2-40B4-BE49-F238E27FC236}">
              <a16:creationId xmlns:a16="http://schemas.microsoft.com/office/drawing/2014/main" id="{DE00AB29-3287-43B3-B11C-E1253B4D966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5409406" y="80699"/>
          <a:ext cx="319790" cy="305594"/>
        </a:xfrm>
        <a:prstGeom prst="rect">
          <a:avLst/>
        </a:prstGeom>
      </xdr:spPr>
    </xdr:pic>
    <xdr:clientData/>
  </xdr:twoCellAnchor>
  <xdr:twoCellAnchor>
    <xdr:from>
      <xdr:col>5</xdr:col>
      <xdr:colOff>631030</xdr:colOff>
      <xdr:row>22</xdr:row>
      <xdr:rowOff>23746</xdr:rowOff>
    </xdr:from>
    <xdr:to>
      <xdr:col>13</xdr:col>
      <xdr:colOff>119068</xdr:colOff>
      <xdr:row>36</xdr:row>
      <xdr:rowOff>83344</xdr:rowOff>
    </xdr:to>
    <xdr:graphicFrame macro="">
      <xdr:nvGraphicFramePr>
        <xdr:cNvPr id="53" name="Chart 52">
          <a:extLst>
            <a:ext uri="{FF2B5EF4-FFF2-40B4-BE49-F238E27FC236}">
              <a16:creationId xmlns:a16="http://schemas.microsoft.com/office/drawing/2014/main" id="{3DF9D882-3D64-47F5-B051-5F373C100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142874</xdr:colOff>
      <xdr:row>22</xdr:row>
      <xdr:rowOff>35718</xdr:rowOff>
    </xdr:from>
    <xdr:to>
      <xdr:col>17</xdr:col>
      <xdr:colOff>988219</xdr:colOff>
      <xdr:row>36</xdr:row>
      <xdr:rowOff>71438</xdr:rowOff>
    </xdr:to>
    <xdr:graphicFrame macro="">
      <xdr:nvGraphicFramePr>
        <xdr:cNvPr id="54" name="Chart 53">
          <a:extLst>
            <a:ext uri="{FF2B5EF4-FFF2-40B4-BE49-F238E27FC236}">
              <a16:creationId xmlns:a16="http://schemas.microsoft.com/office/drawing/2014/main" id="{3B2FE51F-683F-4666-86E3-30B33411B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19</xdr:col>
      <xdr:colOff>166687</xdr:colOff>
      <xdr:row>1</xdr:row>
      <xdr:rowOff>11906</xdr:rowOff>
    </xdr:from>
    <xdr:to>
      <xdr:col>24</xdr:col>
      <xdr:colOff>797719</xdr:colOff>
      <xdr:row>15</xdr:row>
      <xdr:rowOff>11907</xdr:rowOff>
    </xdr:to>
    <xdr:graphicFrame macro="">
      <xdr:nvGraphicFramePr>
        <xdr:cNvPr id="56" name="Chart 55">
          <a:extLst>
            <a:ext uri="{FF2B5EF4-FFF2-40B4-BE49-F238E27FC236}">
              <a16:creationId xmlns:a16="http://schemas.microsoft.com/office/drawing/2014/main" id="{BE1D1788-EE53-4B8A-ACED-9B1991761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11922</xdr:colOff>
      <xdr:row>7</xdr:row>
      <xdr:rowOff>84672</xdr:rowOff>
    </xdr:from>
    <xdr:to>
      <xdr:col>8</xdr:col>
      <xdr:colOff>154782</xdr:colOff>
      <xdr:row>21</xdr:row>
      <xdr:rowOff>132294</xdr:rowOff>
    </xdr:to>
    <xdr:graphicFrame macro="">
      <xdr:nvGraphicFramePr>
        <xdr:cNvPr id="59" name="Chart 58">
          <a:extLst>
            <a:ext uri="{FF2B5EF4-FFF2-40B4-BE49-F238E27FC236}">
              <a16:creationId xmlns:a16="http://schemas.microsoft.com/office/drawing/2014/main" id="{0D3E7729-2090-4287-A33E-5C0F97CD2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182040</xdr:colOff>
      <xdr:row>7</xdr:row>
      <xdr:rowOff>84672</xdr:rowOff>
    </xdr:from>
    <xdr:to>
      <xdr:col>14</xdr:col>
      <xdr:colOff>145486</xdr:colOff>
      <xdr:row>21</xdr:row>
      <xdr:rowOff>132294</xdr:rowOff>
    </xdr:to>
    <xdr:graphicFrame macro="">
      <xdr:nvGraphicFramePr>
        <xdr:cNvPr id="60" name="Chart 59">
          <a:extLst>
            <a:ext uri="{FF2B5EF4-FFF2-40B4-BE49-F238E27FC236}">
              <a16:creationId xmlns:a16="http://schemas.microsoft.com/office/drawing/2014/main" id="{8E5F3BA4-038F-4E61-9FCA-3880CFD37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1</xdr:colOff>
      <xdr:row>22</xdr:row>
      <xdr:rowOff>23812</xdr:rowOff>
    </xdr:from>
    <xdr:to>
      <xdr:col>5</xdr:col>
      <xdr:colOff>583406</xdr:colOff>
      <xdr:row>36</xdr:row>
      <xdr:rowOff>95250</xdr:rowOff>
    </xdr:to>
    <xdr:graphicFrame macro="">
      <xdr:nvGraphicFramePr>
        <xdr:cNvPr id="61" name="Chart 60">
          <a:extLst>
            <a:ext uri="{FF2B5EF4-FFF2-40B4-BE49-F238E27FC236}">
              <a16:creationId xmlns:a16="http://schemas.microsoft.com/office/drawing/2014/main" id="{B285058C-2CB2-4EB2-90DE-40666E922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23038541667" backgroundQuery="1" createdVersion="7" refreshedVersion="7" minRefreshableVersion="3" recordCount="0" supportSubquery="1" supportAdvancedDrill="1" xr:uid="{86D8D0C1-68DF-4812-AB61-2DEF13ED7AE3}">
  <cacheSource type="external" connectionId="1"/>
  <cacheFields count="3">
    <cacheField name="[Measures].[Call_count]" caption="Call_count" numFmtId="0" hierarchy="18" level="32767"/>
    <cacheField name="[calls].[Representative].[Representative]" caption="Representative" numFmtId="0" hierarchy="3" level="1">
      <sharedItems count="5">
        <s v="R01"/>
        <s v="R02"/>
        <s v="R03"/>
        <s v="R04"/>
        <s v="R05"/>
      </sharedItems>
    </cacheField>
    <cacheField name="[Measures].[Total_amount]" caption="Total_amount" numFmtId="0" hierarchy="17"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oneField="1">
      <fieldsUsage count="1">
        <fieldUsage x="2"/>
      </fieldsUsage>
    </cacheHierarchy>
    <cacheHierarchy uniqueName="[Measures].[Call_count]" caption="Call_count" measure="1" displayFolder="" measureGroup="calls" count="0" oneField="1">
      <fieldsUsage count="1">
        <fieldUsage x="0"/>
      </fieldsUsage>
    </cacheHierarchy>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826207407408" backgroundQuery="1" createdVersion="7" refreshedVersion="7" minRefreshableVersion="3" recordCount="0" supportSubquery="1" supportAdvancedDrill="1" xr:uid="{67C93AED-2DD5-4001-89F8-466785BAB4D4}">
  <cacheSource type="external" connectionId="1"/>
  <cacheFields count="6">
    <cacheField name="[Measures].[Call_count]" caption="Call_count" numFmtId="0" hierarchy="18" level="32767"/>
    <cacheField name="[Measures].[Total_amount]" caption="Total_amount" numFmtId="0" hierarchy="17" level="32767"/>
    <cacheField name="[Measures].[Duration_count]" caption="Duration_count" numFmtId="0" hierarchy="19" level="32767"/>
    <cacheField name="[Measures].[Avg.rat]" caption="Avg.rat" numFmtId="0" hierarchy="20" level="32767"/>
    <cacheField name="[Measures].[5*calls]" caption="5*calls" numFmtId="0" hierarchy="21" level="32767"/>
    <cacheField name="[Measures].[amt_per_call]" caption="amt_per_call" numFmtId="0" hierarchy="22"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oneField="1">
      <fieldsUsage count="1">
        <fieldUsage x="1"/>
      </fieldsUsage>
    </cacheHierarchy>
    <cacheHierarchy uniqueName="[Measures].[Call_count]" caption="Call_count" measure="1" displayFolder="" measureGroup="calls" count="0" oneField="1">
      <fieldsUsage count="1">
        <fieldUsage x="0"/>
      </fieldsUsage>
    </cacheHierarchy>
    <cacheHierarchy uniqueName="[Measures].[Duration_count]" caption="Duration_count" measure="1" displayFolder="" measureGroup="calls" count="0" oneField="1">
      <fieldsUsage count="1">
        <fieldUsage x="2"/>
      </fieldsUsage>
    </cacheHierarchy>
    <cacheHierarchy uniqueName="[Measures].[Avg.rat]" caption="Avg.rat"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amt_per_call]" caption="amt_per_call"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69787731483" backgroundQuery="1" createdVersion="7" refreshedVersion="7" minRefreshableVersion="3" recordCount="0" supportSubquery="1" supportAdvancedDrill="1" xr:uid="{6CDCDCAB-20BF-4ABD-B41E-E3FFD3A29F51}">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_amount]" caption="Total_amount" numFmtId="0" hierarchy="17"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oneField="1">
      <fieldsUsage count="1">
        <fieldUsage x="3"/>
      </fieldsUsage>
    </cacheHierarchy>
    <cacheHierarchy uniqueName="[Measures].[Call_count]" caption="Call_count" measure="1" displayFolder="" measureGroup="calls" count="0"/>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7691759259" backgroundQuery="1" createdVersion="7" refreshedVersion="7" minRefreshableVersion="3" recordCount="0" supportSubquery="1" supportAdvancedDrill="1" xr:uid="{FB18340D-F964-48D6-BE2F-78453C783770}">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ount of Call number]" caption="Count of Call number" numFmtId="0" hierarchy="32" level="32767"/>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cacheHierarchy uniqueName="[Measures].[Call_count]" caption="Call_count" measure="1" displayFolder="" measureGroup="calls" count="0"/>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91239351853" backgroundQuery="1" createdVersion="7" refreshedVersion="7" minRefreshableVersion="3" recordCount="0" supportSubquery="1" supportAdvancedDrill="1" xr:uid="{12A91B25-C6D9-4A76-94C2-F161806A632C}">
  <cacheSource type="external" connectionId="1"/>
  <cacheFields count="7">
    <cacheField name="[Measures].[Call_count]" caption="Call_count" numFmtId="0" hierarchy="18" level="32767"/>
    <cacheField name="[Measures].[Total_amount]" caption="Total_amount" numFmtId="0" hierarchy="17" level="32767"/>
    <cacheField name="[Measures].[Duration_count]" caption="Duration_count" numFmtId="0" hierarchy="19" level="32767"/>
    <cacheField name="[Measures].[Avg.rat]" caption="Avg.rat" numFmtId="0" hierarchy="20" level="32767"/>
    <cacheField name="[Measures].[5*calls]" caption="5*calls" numFmtId="0" hierarchy="21" level="32767"/>
    <cacheField name="[Measures].[amt_per_call]" caption="amt_per_call" numFmtId="0" hierarchy="22"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6"/>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oneField="1">
      <fieldsUsage count="1">
        <fieldUsage x="1"/>
      </fieldsUsage>
    </cacheHierarchy>
    <cacheHierarchy uniqueName="[Measures].[Call_count]" caption="Call_count" measure="1" displayFolder="" measureGroup="calls" count="0" oneField="1">
      <fieldsUsage count="1">
        <fieldUsage x="0"/>
      </fieldsUsage>
    </cacheHierarchy>
    <cacheHierarchy uniqueName="[Measures].[Duration_count]" caption="Duration_count" measure="1" displayFolder="" measureGroup="calls" count="0" oneField="1">
      <fieldsUsage count="1">
        <fieldUsage x="2"/>
      </fieldsUsage>
    </cacheHierarchy>
    <cacheHierarchy uniqueName="[Measures].[Avg.rat]" caption="Avg.rat"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amt_per_call]" caption="amt_per_call" measure="1" displayFolder="" measureGroup="calls" count="0" oneField="1">
      <fieldsUsage count="1">
        <fieldUsage x="5"/>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91240856485" backgroundQuery="1" createdVersion="7" refreshedVersion="7" minRefreshableVersion="3" recordCount="0" supportSubquery="1" supportAdvancedDrill="1" xr:uid="{114ABC31-F76D-4A92-B39A-77CEA9371A4A}">
  <cacheSource type="external" connectionId="1"/>
  <cacheFields count="4">
    <cacheField name="[calls].[Date of Call (Month)].[Date of Call (Month)]" caption="Date of Call (Month)" numFmtId="0" hierarchy="11" level="1">
      <sharedItems count="12">
        <s v="Jan"/>
        <s v="Feb"/>
        <s v="Mar"/>
        <s v="Apr"/>
        <s v="May"/>
        <s v="Jun"/>
        <s v="Jul"/>
        <s v="Aug"/>
        <s v="Sep"/>
        <s v="Oct"/>
        <s v="Nov"/>
        <s v="Dec"/>
      </sharedItems>
    </cacheField>
    <cacheField name="[Measures].[Count of Customer ID]" caption="Count of Customer ID" numFmtId="0" hierarchy="27" level="32767"/>
    <cacheField name="[Measures].[Call_count]" caption="Call_count" numFmtId="0" hierarchy="18"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0"/>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cacheHierarchy uniqueName="[Measures].[Call_count]" caption="Call_count" measure="1" displayFolder="" measureGroup="calls" count="0" oneField="1">
      <fieldsUsage count="1">
        <fieldUsage x="2"/>
      </fieldsUsage>
    </cacheHierarchy>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91242013886" backgroundQuery="1" createdVersion="7" refreshedVersion="7" minRefreshableVersion="3" recordCount="0" supportSubquery="1" supportAdvancedDrill="1" xr:uid="{E00B2BC9-0BF5-4989-BDE6-8F3FAF10743C}">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_count]" caption="Call_count" numFmtId="0" hierarchy="18"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cacheHierarchy uniqueName="[Measures].[Call_count]" caption="Call_count" measure="1" displayFolder="" measureGroup="calls" count="0" oneField="1">
      <fieldsUsage count="1">
        <fieldUsage x="1"/>
      </fieldsUsage>
    </cacheHierarchy>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91242824071" backgroundQuery="1" createdVersion="7" refreshedVersion="7" minRefreshableVersion="3" recordCount="0" supportSubquery="1" supportAdvancedDrill="1" xr:uid="{CC789CFC-FB5F-4F92-BBFF-707B24E984F5}">
  <cacheSource type="external" connectionId="1"/>
  <cacheFields count="4">
    <cacheField name="[calls].[Day of week].[Day of week]" caption="Day of week" numFmtId="0" hierarchy="8" level="1">
      <sharedItems count="7">
        <s v="Friday"/>
        <s v="Monday"/>
        <s v="Saturday"/>
        <s v="Sunday"/>
        <s v="Thursday"/>
        <s v="Tuesday"/>
        <s v="Wednesday"/>
      </sharedItems>
    </cacheField>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ount of Customer ID]" caption="Count of Customer ID" numFmtId="0" hierarchy="27" level="32767"/>
    <cacheField name="[calls].[Representative].[Representative]" caption="Representative" numFmtId="0" hierarchy="3" level="1">
      <sharedItems containsSemiMixedTypes="0" containsNonDate="0" containsString="0"/>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cacheHierarchy uniqueName="[Measures].[Call_count]" caption="Call_count" measure="1" displayFolder="" measureGroup="calls" count="0"/>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991243750002" backgroundQuery="1" createdVersion="7" refreshedVersion="7" minRefreshableVersion="3" recordCount="0" supportSubquery="1" supportAdvancedDrill="1" xr:uid="{3424E63A-691A-4228-A18C-74A89DF4887D}">
  <cacheSource type="external" connectionId="1"/>
  <cacheFields count="1">
    <cacheField name="[calls].[Representative].[Representative]" caption="Representative" numFmtId="0" hierarchy="3" level="1">
      <sharedItems count="5">
        <s v="R01"/>
        <s v="R02"/>
        <s v="R03"/>
        <s v="R04"/>
        <s v="R05"/>
      </sharedItems>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_amount]" caption="Total_amount" measure="1" displayFolder="" measureGroup="calls" count="0"/>
    <cacheHierarchy uniqueName="[Measures].[Call_count]" caption="Call_count" measure="1" displayFolder="" measureGroup="calls" count="0"/>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ustomer ID]" caption="Count of Customer ID" measure="1" displayFolder="" measureGroup="calls" count="0" hidden="1">
      <extLst>
        <ext xmlns:x15="http://schemas.microsoft.com/office/spreadsheetml/2010/11/main" uri="{B97F6D7D-B522-45F9-BDA1-12C45D357490}">
          <x15:cacheHierarchy aggregatedColumn="1"/>
        </ext>
      </extLst>
    </cacheHierarchy>
    <cacheHierarchy uniqueName="[Measures].[Count of Customer ID 2]" caption="Count of Customer ID 2" measure="1" displayFolder="" measureGroup="customers" count="0" hidden="1">
      <extLst>
        <ext xmlns:x15="http://schemas.microsoft.com/office/spreadsheetml/2010/11/main" uri="{B97F6D7D-B522-45F9-BDA1-12C45D357490}">
          <x15:cacheHierarchy aggregatedColumn="12"/>
        </ext>
      </extLst>
    </cacheHierarchy>
    <cacheHierarchy uniqueName="[Measures].[Count of City]" caption="Count of City" measure="1" displayFolder="" measureGroup="customers" count="0" hidden="1">
      <extLst>
        <ext xmlns:x15="http://schemas.microsoft.com/office/spreadsheetml/2010/11/main" uri="{B97F6D7D-B522-45F9-BDA1-12C45D357490}">
          <x15:cacheHierarchy aggregatedColumn="15"/>
        </ext>
      </extLst>
    </cacheHierarchy>
    <cacheHierarchy uniqueName="[Measures].[Sum of Satisfaction Rating]" caption="Sum of Satisfaction Rating" measure="1" displayFolder="" measureGroup="calls" count="0" hidden="1">
      <extLst>
        <ext xmlns:x15="http://schemas.microsoft.com/office/spreadsheetml/2010/11/main" uri="{B97F6D7D-B522-45F9-BDA1-12C45D357490}">
          <x15:cacheHierarchy aggregatedColumn="6"/>
        </ext>
      </extLst>
    </cacheHierarchy>
    <cacheHierarchy uniqueName="[Measures].[Count of Representative]" caption="Count of Representative" measure="1" displayFolder="" measureGroup="calls" count="0" hidden="1">
      <extLst>
        <ext xmlns:x15="http://schemas.microsoft.com/office/spreadsheetml/2010/11/main" uri="{B97F6D7D-B522-45F9-BDA1-12C45D357490}">
          <x15:cacheHierarchy aggregatedColumn="3"/>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05.826195601854" backgroundQuery="1" createdVersion="3" refreshedVersion="7" minRefreshableVersion="3" recordCount="0" supportSubquery="1" supportAdvancedDrill="1" xr:uid="{2707FD66-F30A-410D-9E16-F2EF7C29AB9C}">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Total_amount]" caption="Total_amount" measure="1" displayFolder="" measureGroup="calls" count="0"/>
    <cacheHierarchy uniqueName="[Measures].[Call_count]" caption="Call_count" measure="1" displayFolder="" measureGroup="calls" count="0"/>
    <cacheHierarchy uniqueName="[Measures].[Duration_count]" caption="Duration_count" measure="1" displayFolder="" measureGroup="calls" count="0"/>
    <cacheHierarchy uniqueName="[Measures].[Avg.rat]" caption="Avg.rat" measure="1" displayFolder="" measureGroup="calls" count="0"/>
    <cacheHierarchy uniqueName="[Measures].[5*calls]" caption="5*calls" measure="1" displayFolder="" measureGroup="calls" count="0"/>
    <cacheHierarchy uniqueName="[Measures].[amt_per_call]" caption="amt_per_call"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497659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A323BB-A5FC-4025-A886-107E09880AE9}" name="PivotTable15" cacheId="149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2">
  <location ref="A58:G78"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2"/>
  </colFields>
  <colItems count="6">
    <i>
      <x/>
    </i>
    <i>
      <x v="1"/>
    </i>
    <i>
      <x v="2"/>
    </i>
    <i>
      <x v="3"/>
    </i>
    <i>
      <x v="4"/>
    </i>
    <i t="grand">
      <x/>
    </i>
  </colItems>
  <dataFields count="1">
    <dataField fld="3" subtotal="count" baseField="0" baseItem="0"/>
  </dataField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F50C5-3A96-4B7A-9B86-D61D26BB0939}" name="PivotTable12" cacheId="206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7">
  <location ref="A49:A55" firstHeaderRow="1" firstDataRow="1" firstDataCol="1"/>
  <pivotFields count="1">
    <pivotField axis="axisRow" allDrilled="1" subtotalTop="0" showAll="0" dataSourceSort="1" defaultSubtotal="0" defaultAttributeDrillState="1">
      <items count="5">
        <item x="0"/>
        <item x="1"/>
        <item x="2"/>
        <item x="3"/>
        <item x="4"/>
      </items>
    </pivotField>
  </pivotFields>
  <rowFields count="1">
    <field x="0"/>
  </rowFields>
  <rowItems count="6">
    <i>
      <x/>
    </i>
    <i>
      <x v="1"/>
    </i>
    <i>
      <x v="2"/>
    </i>
    <i>
      <x v="3"/>
    </i>
    <i>
      <x v="4"/>
    </i>
    <i t="grand">
      <x/>
    </i>
  </rowItem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6B544-21E6-4A98-9959-7EE84F3C278B}" name="PivotTable10" cacheId="1355" applyNumberFormats="0" applyBorderFormats="0" applyFontFormats="0" applyPatternFormats="0" applyAlignmentFormats="0" applyWidthHeightFormats="1" dataCaption="Values" updatedVersion="7" minRefreshableVersion="3" useAutoFormatting="1" subtotalHiddenItems="1" rowGrandTotals="0" colGrandTotals="0" itemPrintTitles="1" createdVersion="7" indent="0" outline="1" outlineData="1" multipleFieldFilters="0" chartFormat="38">
  <location ref="A42:C47" firstHeaderRow="0"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2"/>
  </colFields>
  <colItems count="2">
    <i>
      <x/>
    </i>
    <i i="1">
      <x v="1"/>
    </i>
  </colItems>
  <dataFields count="2">
    <dataField fld="0" subtotal="count" baseField="0" baseItem="0"/>
    <dataField fld="2" subtotal="count" baseField="0" baseItem="0"/>
  </dataFields>
  <chartFormats count="2">
    <chartFormat chart="18" format="7"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0B3AE6-1F88-4997-AA91-8D6118366434}" name="PivotTable9" cacheId="2066"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2">
  <location ref="E26:F33" firstHeaderRow="1" firstDataRow="1" firstDataCol="1"/>
  <pivotFields count="4">
    <pivotField allDrilled="1" subtotalTop="0" showAll="0" sortType="descending" defaultSubtotal="0" defaultAttributeDrillState="1">
      <items count="7">
        <item x="3"/>
        <item x="2"/>
        <item x="0"/>
        <item x="4"/>
        <item x="6"/>
        <item x="5"/>
        <item x="1"/>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ustomer ID" fld="2" subtotal="count" baseField="0" baseItem="0"/>
  </dataFields>
  <chartFormats count="1">
    <chartFormat chart="31"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1B238F-95E9-4ED9-AE62-0872A7EE11AC}" name="Male vs Female reps" cacheId="196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47">
  <location ref="A33:D3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name="Count of Call number" fld="2" subtotal="count" baseField="0" baseItem="0"/>
  </dataFields>
  <chartFormats count="2">
    <chartFormat chart="46" format="4" series="1">
      <pivotArea type="data" outline="0" fieldPosition="0">
        <references count="2">
          <reference field="4294967294" count="1" selected="0">
            <x v="0"/>
          </reference>
          <reference field="0" count="1" selected="0">
            <x v="0"/>
          </reference>
        </references>
      </pivotArea>
    </chartFormat>
    <chartFormat chart="46" format="5"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6D01E6-E2A8-40DA-8A78-516B4D93C128}" name="PivotTable7" cacheId="206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7">
  <location ref="E15:F23" firstHeaderRow="1" firstDataRow="1" firstDataCol="1"/>
  <pivotFields count="3">
    <pivotField axis="axisRow" allDrilled="1" subtotalTop="0" showAll="0" sortType="descending" defaultSubtotal="0" defaultAttributeDrillState="1">
      <items count="7">
        <item x="3"/>
        <item x="2"/>
        <item x="0"/>
        <item x="4"/>
        <item x="6"/>
        <item x="5"/>
        <item x="1"/>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600B9F-F81B-4E8E-AEA5-BCFC06D5BB39}" name="Call trend" cacheId="2060"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22">
  <location ref="A15:C28"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Count of Customer ID" fld="1" subtotal="count" baseField="0" baseItem="0"/>
    <dataField fld="2" subtotal="count" baseField="0" baseItem="0"/>
  </dataFields>
  <chartFormats count="6">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1"/>
          </reference>
        </references>
      </pivotArea>
    </chartFormat>
    <chartFormat chart="18"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1"/>
          </reference>
        </references>
      </pivotArea>
    </chartFormat>
    <chartFormat chart="20" format="9" series="1">
      <pivotArea type="data" outline="0" fieldPosition="0">
        <references count="1">
          <reference field="4294967294" count="1" selected="0">
            <x v="0"/>
          </reference>
        </references>
      </pivotArea>
    </chartFormat>
    <chartFormat chart="20" format="10">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DC0FAC6-9B93-455A-8880-5D9B20A1B216}" name="PivotTable5" cacheId="2057"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location ref="A9:F10"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169"/>
    <dataField fld="2" subtotal="count" baseField="0" baseItem="0"/>
    <dataField fld="3" subtotal="count" baseField="0" baseItem="0"/>
    <dataField fld="4" subtotal="count" baseField="0" baseItem="0"/>
    <dataField fld="5" subtotal="count" baseField="0" baseItem="0"/>
  </dataFields>
  <formats count="1">
    <format dxfId="6">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FC4D01-FFD8-493F-B5BF-027B5CC641C6}" name="Sumary pivot" cacheId="136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169"/>
    <dataField fld="2" subtotal="count" baseField="0" baseItem="0"/>
    <dataField fld="3" subtotal="count" baseField="0" baseItem="0"/>
    <dataField fld="4" subtotal="count" baseField="0" baseItem="0"/>
    <dataField fld="5" subtotal="count" baseField="0" baseItem="0"/>
  </dataFields>
  <formats count="1">
    <format dxfId="7">
      <pivotArea outline="0" collapsedLevelsAreSubtotals="1" fieldPosition="0">
        <references count="1">
          <reference field="4294967294" count="1" selected="0">
            <x v="1"/>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7FA710C-3306-4F0C-BBA9-3DFACEA46B11}" sourceName="[calls].[Representative]">
  <pivotTables>
    <pivotTable tabId="9" name="PivotTable5"/>
    <pivotTable tabId="9" name="Call trend"/>
    <pivotTable tabId="9" name="PivotTable7"/>
    <pivotTable tabId="9" name="PivotTable9"/>
    <pivotTable tabId="9" name="PivotTable12"/>
  </pivotTables>
  <data>
    <olap pivotCacheId="64976596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BC34981-2A5B-43A3-8A6D-FC2C9E33468A}" cache="Slicer_Representative" caption="Rep_ID#" columnCount="2" level="1" rowHeight="64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1"/>
    <tableColumn id="5" xr3:uid="{5A35565E-8707-4DED-AD15-A0669D67B382}" name="Date of Call" dataDxfId="20"/>
    <tableColumn id="6" xr3:uid="{F2E4F158-B41F-47BC-8DF8-DFCADFEE4E40}" name="Purchase Amount"/>
    <tableColumn id="7" xr3:uid="{04B291B5-47BD-4F78-8FD8-D1551CCA6BD9}" name="Satisfaction Rating"/>
    <tableColumn id="8" xr3:uid="{6E4123C0-0B17-43B8-A142-A1E540CE974C}" name="Financial Year" dataDxfId="19">
      <calculatedColumnFormula>IF(MONTH(calls[[#This Row],[Date of Call]])&lt;=6, YEAR(calls[[#This Row],[Date of Call]]), YEAR(calls[[#This Row],[Date of Call]])+1)</calculatedColumnFormula>
    </tableColumn>
    <tableColumn id="9" xr3:uid="{199FA271-5E9B-46CE-9BC6-2801F92CD17E}" name="Day of week" dataDxfId="18">
      <calculatedColumnFormula>TEXT(calls[[#This Row],[Date of Call]],"DDDD")</calculatedColumnFormula>
    </tableColumn>
    <tableColumn id="10" xr3:uid="{328CDB09-95B8-4D5E-9ED9-EF0D363735A1}" name="Duration Bucket" dataDxfId="17">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6">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5" headerRowBorderDxfId="14" tableBorderDxfId="13" totalsRowBorderDxfId="12">
  <autoFilter ref="Q3:T18" xr:uid="{27158F51-A707-4171-8A04-81FB0AABCBA5}"/>
  <tableColumns count="4">
    <tableColumn id="1" xr3:uid="{02688061-6A8C-4E23-B7FF-D00CD8B58CAC}" name="Customer ID" dataDxfId="11"/>
    <tableColumn id="2" xr3:uid="{771678B6-DB44-426B-9874-B4E421A440D5}" name="Gedner" dataDxfId="10"/>
    <tableColumn id="3" xr3:uid="{B0D41C62-587E-494D-B49A-603F2C05F8D3}" name="Age" dataDxfId="9"/>
    <tableColumn id="4" xr3:uid="{663F92D6-FE31-4D81-9E01-8D066DDC8A88}" name="City" dataDxfId="8"/>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3E989-045E-4045-B309-A21B7F17E0B3}">
  <dimension ref="A1:Z37"/>
  <sheetViews>
    <sheetView showGridLines="0" tabSelected="1" zoomScale="80" zoomScaleNormal="80" workbookViewId="0">
      <selection activeCell="W6" sqref="W6"/>
    </sheetView>
  </sheetViews>
  <sheetFormatPr defaultRowHeight="14.25"/>
  <cols>
    <col min="1" max="1" width="2.75" customWidth="1"/>
    <col min="2" max="2" width="2.875" customWidth="1"/>
    <col min="5" max="5" width="2.25" customWidth="1"/>
    <col min="8" max="8" width="4" customWidth="1"/>
    <col min="11" max="11" width="3.5" customWidth="1"/>
    <col min="14" max="14" width="3.5" customWidth="1"/>
    <col min="17" max="17" width="3.75" customWidth="1"/>
    <col min="18" max="18" width="14.375" customWidth="1"/>
    <col min="19" max="19" width="12.5" customWidth="1"/>
    <col min="20" max="25" width="10.75" bestFit="1" customWidth="1"/>
  </cols>
  <sheetData>
    <row r="1" spans="1:26" ht="3.75" customHeight="1">
      <c r="A1" s="24"/>
      <c r="B1" s="24"/>
      <c r="C1" s="24"/>
      <c r="D1" s="24"/>
      <c r="E1" s="24"/>
      <c r="F1" s="24"/>
      <c r="G1" s="24"/>
      <c r="H1" s="24"/>
      <c r="I1" s="24"/>
      <c r="J1" s="24"/>
      <c r="K1" s="24"/>
      <c r="L1" s="24"/>
      <c r="M1" s="24"/>
      <c r="N1" s="24"/>
      <c r="O1" s="24"/>
      <c r="P1" s="24"/>
      <c r="Q1" s="24"/>
      <c r="R1" s="24"/>
      <c r="S1" s="24"/>
      <c r="T1" s="24"/>
      <c r="U1" s="24"/>
      <c r="V1" s="24"/>
      <c r="W1" s="24"/>
      <c r="X1" s="24"/>
      <c r="Y1" s="24"/>
      <c r="Z1" s="24"/>
    </row>
    <row r="2" spans="1:26">
      <c r="A2" s="24"/>
      <c r="B2" s="24"/>
      <c r="C2" s="24"/>
      <c r="D2" s="24"/>
      <c r="E2" s="24"/>
      <c r="F2" s="24"/>
      <c r="G2" s="24"/>
      <c r="H2" s="24"/>
      <c r="I2" s="24"/>
      <c r="J2" s="24"/>
      <c r="K2" s="24"/>
      <c r="L2" s="24"/>
      <c r="M2" s="24"/>
      <c r="N2" s="24"/>
      <c r="O2" s="24"/>
      <c r="P2" s="24"/>
      <c r="Q2" s="24"/>
      <c r="R2" s="24"/>
      <c r="S2" s="24"/>
      <c r="T2" s="24"/>
      <c r="U2" s="24"/>
      <c r="V2" s="24"/>
      <c r="W2" s="24"/>
      <c r="X2" s="24"/>
      <c r="Y2" s="24"/>
      <c r="Z2" s="24"/>
    </row>
    <row r="3" spans="1:26">
      <c r="A3" s="24"/>
      <c r="B3" s="24"/>
      <c r="C3" s="24"/>
      <c r="D3" s="24"/>
      <c r="E3" s="24"/>
      <c r="F3" s="24"/>
      <c r="G3" s="24"/>
      <c r="H3" s="24"/>
      <c r="I3" s="24"/>
      <c r="J3" s="24"/>
      <c r="K3" s="24"/>
      <c r="L3" s="24"/>
      <c r="M3" s="24"/>
      <c r="N3" s="24"/>
      <c r="O3" s="24"/>
      <c r="P3" s="24"/>
      <c r="Q3" s="24"/>
      <c r="R3" s="24"/>
      <c r="S3" s="24"/>
      <c r="T3" s="24"/>
      <c r="U3" s="24"/>
      <c r="V3" s="24"/>
      <c r="W3" s="24"/>
      <c r="X3" s="24"/>
      <c r="Y3" s="24"/>
      <c r="Z3" s="24"/>
    </row>
    <row r="4" spans="1:26">
      <c r="A4" s="24"/>
      <c r="B4" s="24"/>
      <c r="C4" s="24"/>
      <c r="D4" s="24"/>
      <c r="E4" s="24"/>
      <c r="F4" s="24"/>
      <c r="G4" s="24"/>
      <c r="H4" s="24"/>
      <c r="I4" s="24"/>
      <c r="J4" s="24"/>
      <c r="K4" s="24"/>
      <c r="L4" s="24"/>
      <c r="M4" s="24"/>
      <c r="N4" s="24"/>
      <c r="O4" s="24"/>
      <c r="P4" s="24"/>
      <c r="Q4" s="24"/>
      <c r="R4" s="24"/>
      <c r="S4" s="24"/>
      <c r="T4" s="24"/>
      <c r="U4" s="24"/>
      <c r="V4" s="24"/>
      <c r="W4" s="24"/>
      <c r="X4" s="24"/>
      <c r="Y4" s="24"/>
      <c r="Z4" s="24"/>
    </row>
    <row r="5" spans="1:26">
      <c r="A5" s="24"/>
      <c r="B5" s="24"/>
      <c r="C5" s="28"/>
      <c r="D5" s="24"/>
      <c r="E5" s="24"/>
      <c r="F5" s="24"/>
      <c r="G5" s="24"/>
      <c r="H5" s="24"/>
      <c r="I5" s="24"/>
      <c r="J5" s="24"/>
      <c r="K5" s="24"/>
      <c r="L5" s="24"/>
      <c r="M5" s="24"/>
      <c r="N5" s="24"/>
      <c r="O5" s="24"/>
      <c r="P5" s="24"/>
      <c r="Q5" s="24"/>
      <c r="R5" s="24"/>
      <c r="S5" s="24"/>
      <c r="T5" s="24"/>
      <c r="U5" s="24"/>
      <c r="V5" s="24"/>
      <c r="W5" s="24"/>
      <c r="X5" s="24"/>
      <c r="Y5" s="24"/>
      <c r="Z5" s="24"/>
    </row>
    <row r="6" spans="1:26">
      <c r="A6" s="24"/>
      <c r="B6" s="24"/>
      <c r="C6" s="24"/>
      <c r="D6" s="24"/>
      <c r="E6" s="24"/>
      <c r="F6" s="24"/>
      <c r="G6" s="24"/>
      <c r="H6" s="24"/>
      <c r="I6" s="24"/>
      <c r="J6" s="24"/>
      <c r="K6" s="24"/>
      <c r="L6" s="24"/>
      <c r="M6" s="24"/>
      <c r="N6" s="24"/>
      <c r="O6" s="24"/>
      <c r="P6" s="24"/>
      <c r="Q6" s="24"/>
      <c r="R6" s="24"/>
      <c r="S6" s="24"/>
      <c r="T6" s="24"/>
      <c r="U6" s="24"/>
      <c r="V6" s="24"/>
      <c r="W6" s="24"/>
      <c r="X6" s="24"/>
      <c r="Y6" s="24"/>
      <c r="Z6" s="24"/>
    </row>
    <row r="7" spans="1:26">
      <c r="A7" s="24"/>
      <c r="B7" s="24"/>
      <c r="C7" s="24"/>
      <c r="D7" s="24"/>
      <c r="E7" s="24"/>
      <c r="F7" s="24"/>
      <c r="G7" s="24"/>
      <c r="H7" s="24"/>
      <c r="I7" s="24"/>
      <c r="J7" s="24"/>
      <c r="K7" s="24"/>
      <c r="L7" s="24"/>
      <c r="M7" s="24"/>
      <c r="N7" s="24"/>
      <c r="O7" s="24"/>
      <c r="P7" s="24"/>
      <c r="Q7" s="24"/>
      <c r="R7" s="24"/>
      <c r="S7" s="24"/>
      <c r="T7" s="24"/>
      <c r="U7" s="24"/>
      <c r="V7" s="24"/>
      <c r="W7" s="24"/>
      <c r="X7" s="24"/>
      <c r="Y7" s="24"/>
      <c r="Z7" s="24"/>
    </row>
    <row r="8" spans="1:26">
      <c r="A8" s="24"/>
      <c r="B8" s="24"/>
      <c r="C8" s="24"/>
      <c r="D8" s="24"/>
      <c r="E8" s="24"/>
      <c r="F8" s="24"/>
      <c r="G8" s="24"/>
      <c r="H8" s="24"/>
      <c r="I8" s="24"/>
      <c r="J8" s="24"/>
      <c r="K8" s="24"/>
      <c r="L8" s="24"/>
      <c r="M8" s="24"/>
      <c r="N8" s="24"/>
      <c r="O8" s="24"/>
      <c r="P8" s="24"/>
      <c r="Q8" s="24"/>
      <c r="R8" s="24"/>
      <c r="S8" s="24"/>
      <c r="T8" s="24"/>
      <c r="U8" s="24"/>
      <c r="V8" s="24"/>
      <c r="W8" s="24"/>
      <c r="X8" s="24"/>
      <c r="Y8" s="24"/>
      <c r="Z8" s="24"/>
    </row>
    <row r="9" spans="1:26">
      <c r="A9" s="24"/>
      <c r="B9" s="24"/>
      <c r="C9" s="24"/>
      <c r="D9" s="24"/>
      <c r="E9" s="24"/>
      <c r="F9" s="24"/>
      <c r="G9" s="24"/>
      <c r="H9" s="24"/>
      <c r="I9" s="24"/>
      <c r="J9" s="24"/>
      <c r="K9" s="24"/>
      <c r="L9" s="24"/>
      <c r="M9" s="24"/>
      <c r="N9" s="24"/>
      <c r="O9" s="24"/>
      <c r="P9" s="24"/>
      <c r="Q9" s="24"/>
      <c r="R9" s="24"/>
      <c r="S9" s="24"/>
      <c r="T9" s="24"/>
      <c r="U9" s="24"/>
      <c r="V9" s="24"/>
      <c r="W9" s="24"/>
      <c r="X9" s="24"/>
      <c r="Y9" s="24"/>
      <c r="Z9" s="24"/>
    </row>
    <row r="10" spans="1:26" ht="3"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spans="1:26">
      <c r="A11" s="24"/>
      <c r="B11" s="24"/>
      <c r="C11" s="24"/>
      <c r="D11" s="24"/>
      <c r="E11" s="24"/>
      <c r="F11" s="24"/>
      <c r="G11" s="24"/>
      <c r="H11" s="24"/>
      <c r="I11" s="24"/>
      <c r="J11" s="24"/>
      <c r="K11" s="24"/>
      <c r="L11" s="24"/>
      <c r="M11" s="24"/>
      <c r="N11" s="24"/>
      <c r="O11" s="24"/>
      <c r="P11" s="24"/>
      <c r="Q11" s="24"/>
      <c r="R11" s="24"/>
      <c r="S11" s="24"/>
      <c r="T11" s="24"/>
      <c r="U11" s="24"/>
      <c r="V11" s="24"/>
      <c r="W11" s="24"/>
      <c r="X11" s="24"/>
      <c r="Y11" s="24"/>
      <c r="Z11" s="24"/>
    </row>
    <row r="12" spans="1:26">
      <c r="A12" s="24"/>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spans="1:26">
      <c r="A13" s="24"/>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spans="1:26">
      <c r="A14" s="24"/>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spans="1:26">
      <c r="A15" s="24"/>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spans="1:26" ht="6" customHeight="1">
      <c r="A16" s="24"/>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spans="1:26" ht="15">
      <c r="A17" s="24"/>
      <c r="B17" s="24"/>
      <c r="C17" s="24"/>
      <c r="D17" s="24"/>
      <c r="E17" s="24"/>
      <c r="F17" s="24"/>
      <c r="G17" s="24"/>
      <c r="H17" s="24"/>
      <c r="I17" s="24"/>
      <c r="J17" s="24"/>
      <c r="K17" s="24"/>
      <c r="L17" s="24"/>
      <c r="M17" s="24"/>
      <c r="N17" s="24"/>
      <c r="O17" s="24"/>
      <c r="P17" s="24"/>
      <c r="Q17" s="24"/>
      <c r="R17" s="24"/>
      <c r="S17" s="31"/>
      <c r="T17" s="31" t="str">
        <f>pivots!B59</f>
        <v>R01</v>
      </c>
      <c r="U17" s="31" t="str">
        <f>pivots!C59</f>
        <v>R02</v>
      </c>
      <c r="V17" s="31" t="str">
        <f>pivots!D59</f>
        <v>R03</v>
      </c>
      <c r="W17" s="31" t="str">
        <f>pivots!E59</f>
        <v>R04</v>
      </c>
      <c r="X17" s="31" t="str">
        <f>pivots!F59</f>
        <v>R05</v>
      </c>
      <c r="Y17" s="31" t="s">
        <v>1072</v>
      </c>
      <c r="Z17" s="24"/>
    </row>
    <row r="18" spans="1:26" ht="15">
      <c r="A18" s="24"/>
      <c r="B18" s="24"/>
      <c r="C18" s="24"/>
      <c r="D18" s="24"/>
      <c r="E18" s="24"/>
      <c r="F18" s="24"/>
      <c r="G18" s="24"/>
      <c r="H18" s="24"/>
      <c r="I18" s="24"/>
      <c r="J18" s="24"/>
      <c r="K18" s="24"/>
      <c r="L18" s="24"/>
      <c r="M18" s="24"/>
      <c r="N18" s="24"/>
      <c r="O18" s="24"/>
      <c r="P18" s="24"/>
      <c r="Q18" s="24"/>
      <c r="R18" s="24"/>
      <c r="S18" s="31" t="str">
        <f>IF(pivots!A60&lt;&gt;0,pivots!A60,"")</f>
        <v>Cincinnati</v>
      </c>
      <c r="T18" s="31" t="str">
        <f>IF(pivots!B60&lt;&gt;0,pivots!B60,"")</f>
        <v/>
      </c>
      <c r="U18" s="31" t="str">
        <f>IF(pivots!C60&lt;&gt;0,pivots!C60,"")</f>
        <v/>
      </c>
      <c r="V18" s="31" t="str">
        <f>IF(pivots!D60&lt;&gt;0,pivots!D60,"")</f>
        <v/>
      </c>
      <c r="W18" s="31" t="str">
        <f>IF(pivots!E60&lt;&gt;0,pivots!E60,"")</f>
        <v/>
      </c>
      <c r="X18" s="31" t="str">
        <f>IF(pivots!F60&lt;&gt;0,pivots!F60,"")</f>
        <v/>
      </c>
      <c r="Y18" s="31" t="str">
        <f>IF(pivots!G60&lt;&gt;0,pivots!G60,"")</f>
        <v/>
      </c>
      <c r="Z18" s="24"/>
    </row>
    <row r="19" spans="1:26" ht="15">
      <c r="A19" s="24"/>
      <c r="B19" s="24"/>
      <c r="C19" s="24"/>
      <c r="D19" s="24"/>
      <c r="E19" s="24"/>
      <c r="F19" s="24"/>
      <c r="G19" s="24"/>
      <c r="H19" s="24"/>
      <c r="I19" s="24"/>
      <c r="J19" s="24"/>
      <c r="K19" s="24"/>
      <c r="L19" s="24"/>
      <c r="M19" s="24"/>
      <c r="N19" s="24"/>
      <c r="O19" s="24"/>
      <c r="P19" s="24"/>
      <c r="Q19" s="24"/>
      <c r="R19" s="24"/>
      <c r="S19" s="31" t="str">
        <f>IF(pivots!A61&lt;&gt;0,pivots!A61,"")</f>
        <v>C0003</v>
      </c>
      <c r="T19" s="32">
        <f>IF(pivots!B61&lt;&gt;0,pivots!B61,"")</f>
        <v>891</v>
      </c>
      <c r="U19" s="32">
        <f>IF(pivots!C61&lt;&gt;0,pivots!C61,"")</f>
        <v>1332</v>
      </c>
      <c r="V19" s="32">
        <f>IF(pivots!D61&lt;&gt;0,pivots!D61,"")</f>
        <v>1282</v>
      </c>
      <c r="W19" s="32">
        <f>IF(pivots!E61&lt;&gt;0,pivots!E61,"")</f>
        <v>739</v>
      </c>
      <c r="X19" s="32">
        <f>IF(pivots!F61&lt;&gt;0,pivots!F61,"")</f>
        <v>560</v>
      </c>
      <c r="Y19" s="32">
        <f>IF(pivots!G61&lt;&gt;0,pivots!G61,"")</f>
        <v>4804</v>
      </c>
      <c r="Z19" s="24"/>
    </row>
    <row r="20" spans="1:26" ht="15">
      <c r="A20" s="24"/>
      <c r="B20" s="24"/>
      <c r="C20" s="24"/>
      <c r="D20" s="24"/>
      <c r="E20" s="24"/>
      <c r="F20" s="24"/>
      <c r="G20" s="24"/>
      <c r="H20" s="24"/>
      <c r="I20" s="24"/>
      <c r="J20" s="24"/>
      <c r="K20" s="24"/>
      <c r="L20" s="24"/>
      <c r="M20" s="24"/>
      <c r="N20" s="24"/>
      <c r="O20" s="24"/>
      <c r="P20" s="24"/>
      <c r="Q20" s="24"/>
      <c r="R20" s="24"/>
      <c r="S20" s="31" t="str">
        <f>IF(pivots!A62&lt;&gt;0,pivots!A62,"")</f>
        <v>C0004</v>
      </c>
      <c r="T20" s="32">
        <f>IF(pivots!B62&lt;&gt;0,pivots!B62,"")</f>
        <v>1991</v>
      </c>
      <c r="U20" s="32">
        <f>IF(pivots!C62&lt;&gt;0,pivots!C62,"")</f>
        <v>1886</v>
      </c>
      <c r="V20" s="32">
        <f>IF(pivots!D62&lt;&gt;0,pivots!D62,"")</f>
        <v>1206</v>
      </c>
      <c r="W20" s="32">
        <f>IF(pivots!E62&lt;&gt;0,pivots!E62,"")</f>
        <v>884</v>
      </c>
      <c r="X20" s="32">
        <f>IF(pivots!F62&lt;&gt;0,pivots!F62,"")</f>
        <v>1722</v>
      </c>
      <c r="Y20" s="32">
        <f>IF(pivots!G62&lt;&gt;0,pivots!G62,"")</f>
        <v>7689</v>
      </c>
      <c r="Z20" s="24"/>
    </row>
    <row r="21" spans="1:26" ht="15">
      <c r="A21" s="24"/>
      <c r="B21" s="24"/>
      <c r="C21" s="24"/>
      <c r="D21" s="24"/>
      <c r="E21" s="24"/>
      <c r="F21" s="24"/>
      <c r="G21" s="24"/>
      <c r="H21" s="24"/>
      <c r="I21" s="24"/>
      <c r="J21" s="24"/>
      <c r="K21" s="24"/>
      <c r="L21" s="24"/>
      <c r="M21" s="24"/>
      <c r="N21" s="24"/>
      <c r="O21" s="24"/>
      <c r="P21" s="24"/>
      <c r="Q21" s="24"/>
      <c r="R21" s="24"/>
      <c r="S21" s="31" t="str">
        <f>IF(pivots!A63&lt;&gt;0,pivots!A63,"")</f>
        <v>C0011</v>
      </c>
      <c r="T21" s="32">
        <f>IF(pivots!B63&lt;&gt;0,pivots!B63,"")</f>
        <v>1163</v>
      </c>
      <c r="U21" s="32">
        <f>IF(pivots!C63&lt;&gt;0,pivots!C63,"")</f>
        <v>1180</v>
      </c>
      <c r="V21" s="32">
        <f>IF(pivots!D63&lt;&gt;0,pivots!D63,"")</f>
        <v>1616</v>
      </c>
      <c r="W21" s="32">
        <f>IF(pivots!E63&lt;&gt;0,pivots!E63,"")</f>
        <v>1043</v>
      </c>
      <c r="X21" s="32">
        <f>IF(pivots!F63&lt;&gt;0,pivots!F63,"")</f>
        <v>1747</v>
      </c>
      <c r="Y21" s="32">
        <f>IF(pivots!G63&lt;&gt;0,pivots!G63,"")</f>
        <v>6749</v>
      </c>
      <c r="Z21" s="24"/>
    </row>
    <row r="22" spans="1:26" ht="15">
      <c r="A22" s="24"/>
      <c r="B22" s="24"/>
      <c r="C22" s="24"/>
      <c r="D22" s="24"/>
      <c r="E22" s="24"/>
      <c r="F22" s="24"/>
      <c r="G22" s="24"/>
      <c r="H22" s="24"/>
      <c r="I22" s="24"/>
      <c r="J22" s="24"/>
      <c r="K22" s="24"/>
      <c r="L22" s="24"/>
      <c r="M22" s="24"/>
      <c r="N22" s="24"/>
      <c r="O22" s="24"/>
      <c r="P22" s="24"/>
      <c r="Q22" s="24"/>
      <c r="R22" s="24"/>
      <c r="S22" s="31" t="str">
        <f>IF(pivots!A64&lt;&gt;0,pivots!A64,"")</f>
        <v>C0012</v>
      </c>
      <c r="T22" s="32">
        <f>IF(pivots!B64&lt;&gt;0,pivots!B64,"")</f>
        <v>1438</v>
      </c>
      <c r="U22" s="32">
        <f>IF(pivots!C64&lt;&gt;0,pivots!C64,"")</f>
        <v>1616</v>
      </c>
      <c r="V22" s="32">
        <f>IF(pivots!D64&lt;&gt;0,pivots!D64,"")</f>
        <v>866</v>
      </c>
      <c r="W22" s="32">
        <f>IF(pivots!E64&lt;&gt;0,pivots!E64,"")</f>
        <v>829</v>
      </c>
      <c r="X22" s="32">
        <f>IF(pivots!F64&lt;&gt;0,pivots!F64,"")</f>
        <v>2070</v>
      </c>
      <c r="Y22" s="32">
        <f>IF(pivots!G64&lt;&gt;0,pivots!G64,"")</f>
        <v>6819</v>
      </c>
      <c r="Z22" s="24"/>
    </row>
    <row r="23" spans="1:26" ht="15">
      <c r="A23" s="24"/>
      <c r="B23" s="24"/>
      <c r="C23" s="24"/>
      <c r="D23" s="24"/>
      <c r="E23" s="24"/>
      <c r="F23" s="24"/>
      <c r="G23" s="24"/>
      <c r="H23" s="24"/>
      <c r="I23" s="24"/>
      <c r="J23" s="24"/>
      <c r="K23" s="24"/>
      <c r="L23" s="24"/>
      <c r="M23" s="24"/>
      <c r="N23" s="24"/>
      <c r="O23" s="24"/>
      <c r="P23" s="24"/>
      <c r="Q23" s="24"/>
      <c r="R23" s="24"/>
      <c r="S23" s="31" t="str">
        <f>IF(pivots!A65&lt;&gt;0,pivots!A65,"")</f>
        <v>Cleveland</v>
      </c>
      <c r="T23" s="32" t="str">
        <f>IF(pivots!B65&lt;&gt;0,pivots!B65,"")</f>
        <v/>
      </c>
      <c r="U23" s="32" t="str">
        <f>IF(pivots!C65&lt;&gt;0,pivots!C65,"")</f>
        <v/>
      </c>
      <c r="V23" s="32" t="str">
        <f>IF(pivots!D65&lt;&gt;0,pivots!D65,"")</f>
        <v/>
      </c>
      <c r="W23" s="32" t="str">
        <f>IF(pivots!E65&lt;&gt;0,pivots!E65,"")</f>
        <v/>
      </c>
      <c r="X23" s="32" t="str">
        <f>IF(pivots!F65&lt;&gt;0,pivots!F65,"")</f>
        <v/>
      </c>
      <c r="Y23" s="32" t="str">
        <f>IF(pivots!G65&lt;&gt;0,pivots!G65,"")</f>
        <v/>
      </c>
      <c r="Z23" s="24"/>
    </row>
    <row r="24" spans="1:26" ht="15">
      <c r="A24" s="24"/>
      <c r="B24" s="24"/>
      <c r="C24" s="24"/>
      <c r="D24" s="24"/>
      <c r="E24" s="24"/>
      <c r="F24" s="24"/>
      <c r="G24" s="24"/>
      <c r="H24" s="24"/>
      <c r="I24" s="24"/>
      <c r="J24" s="24"/>
      <c r="K24" s="24"/>
      <c r="L24" s="24"/>
      <c r="M24" s="24"/>
      <c r="N24" s="24"/>
      <c r="O24" s="24"/>
      <c r="P24" s="24"/>
      <c r="Q24" s="24"/>
      <c r="R24" s="24"/>
      <c r="S24" s="31" t="str">
        <f>IF(pivots!A66&lt;&gt;0,pivots!A66,"")</f>
        <v>C0002</v>
      </c>
      <c r="T24" s="32">
        <f>IF(pivots!B66&lt;&gt;0,pivots!B66,"")</f>
        <v>1233</v>
      </c>
      <c r="U24" s="32">
        <f>IF(pivots!C66&lt;&gt;0,pivots!C66,"")</f>
        <v>223</v>
      </c>
      <c r="V24" s="32">
        <f>IF(pivots!D66&lt;&gt;0,pivots!D66,"")</f>
        <v>1680</v>
      </c>
      <c r="W24" s="32">
        <f>IF(pivots!E66&lt;&gt;0,pivots!E66,"")</f>
        <v>990</v>
      </c>
      <c r="X24" s="32">
        <f>IF(pivots!F66&lt;&gt;0,pivots!F66,"")</f>
        <v>1508</v>
      </c>
      <c r="Y24" s="32">
        <f>IF(pivots!G66&lt;&gt;0,pivots!G66,"")</f>
        <v>5634</v>
      </c>
      <c r="Z24" s="24"/>
    </row>
    <row r="25" spans="1:26" ht="15">
      <c r="A25" s="24"/>
      <c r="B25" s="24"/>
      <c r="C25" s="24"/>
      <c r="D25" s="24"/>
      <c r="E25" s="24"/>
      <c r="F25" s="24"/>
      <c r="G25" s="24"/>
      <c r="H25" s="24"/>
      <c r="I25" s="24"/>
      <c r="J25" s="24"/>
      <c r="K25" s="24"/>
      <c r="L25" s="24"/>
      <c r="M25" s="24"/>
      <c r="N25" s="24"/>
      <c r="O25" s="24"/>
      <c r="P25" s="24"/>
      <c r="Q25" s="24"/>
      <c r="R25" s="24"/>
      <c r="S25" s="31" t="str">
        <f>IF(pivots!A67&lt;&gt;0,pivots!A67,"")</f>
        <v>C0007</v>
      </c>
      <c r="T25" s="32">
        <f>IF(pivots!B67&lt;&gt;0,pivots!B67,"")</f>
        <v>1598</v>
      </c>
      <c r="U25" s="32">
        <f>IF(pivots!C67&lt;&gt;0,pivots!C67,"")</f>
        <v>1907</v>
      </c>
      <c r="V25" s="32">
        <f>IF(pivots!D67&lt;&gt;0,pivots!D67,"")</f>
        <v>869</v>
      </c>
      <c r="W25" s="32">
        <f>IF(pivots!E67&lt;&gt;0,pivots!E67,"")</f>
        <v>1426</v>
      </c>
      <c r="X25" s="32">
        <f>IF(pivots!F67&lt;&gt;0,pivots!F67,"")</f>
        <v>1416</v>
      </c>
      <c r="Y25" s="32">
        <f>IF(pivots!G67&lt;&gt;0,pivots!G67,"")</f>
        <v>7216</v>
      </c>
      <c r="Z25" s="24"/>
    </row>
    <row r="26" spans="1:26" ht="15">
      <c r="A26" s="24"/>
      <c r="B26" s="24"/>
      <c r="C26" s="24"/>
      <c r="D26" s="24"/>
      <c r="E26" s="24"/>
      <c r="F26" s="24"/>
      <c r="G26" s="24"/>
      <c r="H26" s="24"/>
      <c r="I26" s="24"/>
      <c r="J26" s="24"/>
      <c r="K26" s="24"/>
      <c r="L26" s="24"/>
      <c r="M26" s="24"/>
      <c r="N26" s="24"/>
      <c r="O26" s="24"/>
      <c r="P26" s="24"/>
      <c r="Q26" s="24"/>
      <c r="R26" s="24"/>
      <c r="S26" s="31" t="str">
        <f>IF(pivots!A68&lt;&gt;0,pivots!A68,"")</f>
        <v>C0008</v>
      </c>
      <c r="T26" s="32">
        <f>IF(pivots!B68&lt;&gt;0,pivots!B68,"")</f>
        <v>900</v>
      </c>
      <c r="U26" s="32">
        <f>IF(pivots!C68&lt;&gt;0,pivots!C68,"")</f>
        <v>1016</v>
      </c>
      <c r="V26" s="32">
        <f>IF(pivots!D68&lt;&gt;0,pivots!D68,"")</f>
        <v>960</v>
      </c>
      <c r="W26" s="32">
        <f>IF(pivots!E68&lt;&gt;0,pivots!E68,"")</f>
        <v>940</v>
      </c>
      <c r="X26" s="32">
        <f>IF(pivots!F68&lt;&gt;0,pivots!F68,"")</f>
        <v>1193</v>
      </c>
      <c r="Y26" s="32">
        <f>IF(pivots!G68&lt;&gt;0,pivots!G68,"")</f>
        <v>5009</v>
      </c>
      <c r="Z26" s="24"/>
    </row>
    <row r="27" spans="1:26" ht="15">
      <c r="A27" s="24"/>
      <c r="B27" s="24"/>
      <c r="C27" s="24"/>
      <c r="D27" s="24"/>
      <c r="E27" s="24"/>
      <c r="F27" s="24"/>
      <c r="G27" s="24"/>
      <c r="H27" s="24"/>
      <c r="I27" s="24"/>
      <c r="J27" s="24"/>
      <c r="K27" s="24"/>
      <c r="L27" s="24"/>
      <c r="M27" s="24"/>
      <c r="N27" s="24"/>
      <c r="O27" s="24"/>
      <c r="P27" s="24"/>
      <c r="Q27" s="24"/>
      <c r="R27" s="24"/>
      <c r="S27" s="31" t="str">
        <f>IF(pivots!A69&lt;&gt;0,pivots!A69,"")</f>
        <v>C0010</v>
      </c>
      <c r="T27" s="32">
        <f>IF(pivots!B69&lt;&gt;0,pivots!B69,"")</f>
        <v>900</v>
      </c>
      <c r="U27" s="32">
        <f>IF(pivots!C69&lt;&gt;0,pivots!C69,"")</f>
        <v>1470</v>
      </c>
      <c r="V27" s="32">
        <f>IF(pivots!D69&lt;&gt;0,pivots!D69,"")</f>
        <v>1617</v>
      </c>
      <c r="W27" s="32">
        <f>IF(pivots!E69&lt;&gt;0,pivots!E69,"")</f>
        <v>1314</v>
      </c>
      <c r="X27" s="32">
        <f>IF(pivots!F69&lt;&gt;0,pivots!F69,"")</f>
        <v>941</v>
      </c>
      <c r="Y27" s="32">
        <f>IF(pivots!G69&lt;&gt;0,pivots!G69,"")</f>
        <v>6242</v>
      </c>
      <c r="Z27" s="24"/>
    </row>
    <row r="28" spans="1:26" ht="15">
      <c r="A28" s="24"/>
      <c r="B28" s="24"/>
      <c r="C28" s="24"/>
      <c r="D28" s="24"/>
      <c r="E28" s="24"/>
      <c r="F28" s="24"/>
      <c r="G28" s="24"/>
      <c r="H28" s="24"/>
      <c r="I28" s="24"/>
      <c r="J28" s="24"/>
      <c r="K28" s="24"/>
      <c r="L28" s="24"/>
      <c r="M28" s="24"/>
      <c r="N28" s="24"/>
      <c r="O28" s="24"/>
      <c r="P28" s="24"/>
      <c r="Q28" s="24"/>
      <c r="R28" s="24"/>
      <c r="S28" s="31" t="str">
        <f>IF(pivots!A70&lt;&gt;0,pivots!A70,"")</f>
        <v>C0013</v>
      </c>
      <c r="T28" s="32">
        <f>IF(pivots!B70&lt;&gt;0,pivots!B70,"")</f>
        <v>1255</v>
      </c>
      <c r="U28" s="32">
        <f>IF(pivots!C70&lt;&gt;0,pivots!C70,"")</f>
        <v>516</v>
      </c>
      <c r="V28" s="32">
        <f>IF(pivots!D70&lt;&gt;0,pivots!D70,"")</f>
        <v>1874</v>
      </c>
      <c r="W28" s="32">
        <f>IF(pivots!E70&lt;&gt;0,pivots!E70,"")</f>
        <v>1863</v>
      </c>
      <c r="X28" s="32">
        <f>IF(pivots!F70&lt;&gt;0,pivots!F70,"")</f>
        <v>1722</v>
      </c>
      <c r="Y28" s="32">
        <f>IF(pivots!G70&lt;&gt;0,pivots!G70,"")</f>
        <v>7230</v>
      </c>
      <c r="Z28" s="24"/>
    </row>
    <row r="29" spans="1:26" ht="15">
      <c r="A29" s="24"/>
      <c r="B29" s="24"/>
      <c r="C29" s="24"/>
      <c r="D29" s="24"/>
      <c r="E29" s="24"/>
      <c r="F29" s="24"/>
      <c r="G29" s="24"/>
      <c r="H29" s="24"/>
      <c r="I29" s="24"/>
      <c r="J29" s="24"/>
      <c r="K29" s="24"/>
      <c r="L29" s="24"/>
      <c r="M29" s="24"/>
      <c r="N29" s="24"/>
      <c r="O29" s="24"/>
      <c r="P29" s="24"/>
      <c r="Q29" s="24"/>
      <c r="R29" s="24"/>
      <c r="S29" s="31" t="str">
        <f>IF(pivots!A71&lt;&gt;0,pivots!A71,"")</f>
        <v>C0015</v>
      </c>
      <c r="T29" s="32">
        <f>IF(pivots!B71&lt;&gt;0,pivots!B71,"")</f>
        <v>1138</v>
      </c>
      <c r="U29" s="32">
        <f>IF(pivots!C71&lt;&gt;0,pivots!C71,"")</f>
        <v>1898</v>
      </c>
      <c r="V29" s="32">
        <f>IF(pivots!D71&lt;&gt;0,pivots!D71,"")</f>
        <v>1482</v>
      </c>
      <c r="W29" s="32">
        <f>IF(pivots!E71&lt;&gt;0,pivots!E71,"")</f>
        <v>846</v>
      </c>
      <c r="X29" s="32">
        <f>IF(pivots!F71&lt;&gt;0,pivots!F71,"")</f>
        <v>1154</v>
      </c>
      <c r="Y29" s="32">
        <f>IF(pivots!G71&lt;&gt;0,pivots!G71,"")</f>
        <v>6518</v>
      </c>
      <c r="Z29" s="24"/>
    </row>
    <row r="30" spans="1:26" ht="15">
      <c r="A30" s="24"/>
      <c r="B30" s="24"/>
      <c r="C30" s="24"/>
      <c r="D30" s="24"/>
      <c r="E30" s="24"/>
      <c r="F30" s="24"/>
      <c r="G30" s="24"/>
      <c r="H30" s="24"/>
      <c r="I30" s="24"/>
      <c r="J30" s="24"/>
      <c r="K30" s="24"/>
      <c r="L30" s="24"/>
      <c r="M30" s="24"/>
      <c r="N30" s="24"/>
      <c r="O30" s="24"/>
      <c r="P30" s="24"/>
      <c r="Q30" s="24"/>
      <c r="R30" s="24"/>
      <c r="S30" s="31" t="str">
        <f>IF(pivots!A72&lt;&gt;0,pivots!A72,"")</f>
        <v>Columbus</v>
      </c>
      <c r="T30" s="32" t="str">
        <f>IF(pivots!B72&lt;&gt;0,pivots!B72,"")</f>
        <v/>
      </c>
      <c r="U30" s="32" t="str">
        <f>IF(pivots!C72&lt;&gt;0,pivots!C72,"")</f>
        <v/>
      </c>
      <c r="V30" s="32" t="str">
        <f>IF(pivots!D72&lt;&gt;0,pivots!D72,"")</f>
        <v/>
      </c>
      <c r="W30" s="32" t="str">
        <f>IF(pivots!E72&lt;&gt;0,pivots!E72,"")</f>
        <v/>
      </c>
      <c r="X30" s="32" t="str">
        <f>IF(pivots!F72&lt;&gt;0,pivots!F72,"")</f>
        <v/>
      </c>
      <c r="Y30" s="32" t="str">
        <f>IF(pivots!G72&lt;&gt;0,pivots!G72,"")</f>
        <v/>
      </c>
      <c r="Z30" s="24"/>
    </row>
    <row r="31" spans="1:26" ht="15">
      <c r="A31" s="24"/>
      <c r="B31" s="24"/>
      <c r="C31" s="24"/>
      <c r="D31" s="24"/>
      <c r="E31" s="24"/>
      <c r="F31" s="24"/>
      <c r="G31" s="24"/>
      <c r="H31" s="24"/>
      <c r="I31" s="24"/>
      <c r="J31" s="24"/>
      <c r="K31" s="24"/>
      <c r="L31" s="24"/>
      <c r="M31" s="24"/>
      <c r="N31" s="24"/>
      <c r="O31" s="24"/>
      <c r="P31" s="24"/>
      <c r="Q31" s="24"/>
      <c r="R31" s="24"/>
      <c r="S31" s="31" t="str">
        <f>IF(pivots!A73&lt;&gt;0,pivots!A73,"")</f>
        <v>C0001</v>
      </c>
      <c r="T31" s="32">
        <f>IF(pivots!B73&lt;&gt;0,pivots!B73,"")</f>
        <v>1655</v>
      </c>
      <c r="U31" s="32">
        <f>IF(pivots!C73&lt;&gt;0,pivots!C73,"")</f>
        <v>805</v>
      </c>
      <c r="V31" s="32">
        <f>IF(pivots!D73&lt;&gt;0,pivots!D73,"")</f>
        <v>2263</v>
      </c>
      <c r="W31" s="32">
        <f>IF(pivots!E73&lt;&gt;0,pivots!E73,"")</f>
        <v>987</v>
      </c>
      <c r="X31" s="32">
        <f>IF(pivots!F73&lt;&gt;0,pivots!F73,"")</f>
        <v>1075</v>
      </c>
      <c r="Y31" s="32">
        <f>IF(pivots!G73&lt;&gt;0,pivots!G73,"")</f>
        <v>6785</v>
      </c>
      <c r="Z31" s="24"/>
    </row>
    <row r="32" spans="1:26" ht="15">
      <c r="A32" s="24"/>
      <c r="B32" s="24"/>
      <c r="C32" s="24"/>
      <c r="D32" s="24"/>
      <c r="E32" s="24"/>
      <c r="F32" s="24"/>
      <c r="G32" s="24"/>
      <c r="H32" s="24"/>
      <c r="I32" s="24"/>
      <c r="J32" s="24"/>
      <c r="K32" s="24"/>
      <c r="L32" s="24"/>
      <c r="M32" s="24"/>
      <c r="N32" s="24"/>
      <c r="O32" s="24"/>
      <c r="P32" s="24"/>
      <c r="Q32" s="24"/>
      <c r="R32" s="24"/>
      <c r="S32" s="31" t="str">
        <f>IF(pivots!A74&lt;&gt;0,pivots!A74,"")</f>
        <v>C0005</v>
      </c>
      <c r="T32" s="32">
        <f>IF(pivots!B74&lt;&gt;0,pivots!B74,"")</f>
        <v>1104</v>
      </c>
      <c r="U32" s="32">
        <f>IF(pivots!C74&lt;&gt;0,pivots!C74,"")</f>
        <v>2280</v>
      </c>
      <c r="V32" s="32">
        <f>IF(pivots!D74&lt;&gt;0,pivots!D74,"")</f>
        <v>1445</v>
      </c>
      <c r="W32" s="32">
        <f>IF(pivots!E74&lt;&gt;0,pivots!E74,"")</f>
        <v>1722</v>
      </c>
      <c r="X32" s="32">
        <f>IF(pivots!F74&lt;&gt;0,pivots!F74,"")</f>
        <v>1196</v>
      </c>
      <c r="Y32" s="32">
        <f>IF(pivots!G74&lt;&gt;0,pivots!G74,"")</f>
        <v>7747</v>
      </c>
      <c r="Z32" s="24"/>
    </row>
    <row r="33" spans="1:26" ht="15">
      <c r="A33" s="24"/>
      <c r="B33" s="24"/>
      <c r="C33" s="24"/>
      <c r="D33" s="24"/>
      <c r="E33" s="24"/>
      <c r="F33" s="24"/>
      <c r="G33" s="24"/>
      <c r="H33" s="24"/>
      <c r="I33" s="24"/>
      <c r="J33" s="24"/>
      <c r="K33" s="24"/>
      <c r="L33" s="24"/>
      <c r="M33" s="24"/>
      <c r="N33" s="24"/>
      <c r="O33" s="24"/>
      <c r="P33" s="24"/>
      <c r="Q33" s="24"/>
      <c r="R33" s="24"/>
      <c r="S33" s="31" t="str">
        <f>IF(pivots!A75&lt;&gt;0,pivots!A75,"")</f>
        <v>C0006</v>
      </c>
      <c r="T33" s="32">
        <f>IF(pivots!B75&lt;&gt;0,pivots!B75,"")</f>
        <v>372</v>
      </c>
      <c r="U33" s="32">
        <f>IF(pivots!C75&lt;&gt;0,pivots!C75,"")</f>
        <v>1818</v>
      </c>
      <c r="V33" s="32">
        <f>IF(pivots!D75&lt;&gt;0,pivots!D75,"")</f>
        <v>1346</v>
      </c>
      <c r="W33" s="32">
        <f>IF(pivots!E75&lt;&gt;0,pivots!E75,"")</f>
        <v>1156</v>
      </c>
      <c r="X33" s="32">
        <f>IF(pivots!F75&lt;&gt;0,pivots!F75,"")</f>
        <v>1484</v>
      </c>
      <c r="Y33" s="32">
        <f>IF(pivots!G75&lt;&gt;0,pivots!G75,"")</f>
        <v>6176</v>
      </c>
      <c r="Z33" s="24"/>
    </row>
    <row r="34" spans="1:26" ht="15">
      <c r="A34" s="24"/>
      <c r="B34" s="24"/>
      <c r="C34" s="24"/>
      <c r="D34" s="24"/>
      <c r="E34" s="24"/>
      <c r="F34" s="24"/>
      <c r="G34" s="24"/>
      <c r="H34" s="24"/>
      <c r="I34" s="24"/>
      <c r="J34" s="24"/>
      <c r="K34" s="24"/>
      <c r="L34" s="24"/>
      <c r="M34" s="24"/>
      <c r="N34" s="24"/>
      <c r="O34" s="24"/>
      <c r="P34" s="24"/>
      <c r="Q34" s="24"/>
      <c r="R34" s="24"/>
      <c r="S34" s="31" t="str">
        <f>IF(pivots!A76&lt;&gt;0,pivots!A76,"")</f>
        <v>C0009</v>
      </c>
      <c r="T34" s="32">
        <f>IF(pivots!B76&lt;&gt;0,pivots!B76,"")</f>
        <v>1415</v>
      </c>
      <c r="U34" s="32">
        <f>IF(pivots!C76&lt;&gt;0,pivots!C76,"")</f>
        <v>1271</v>
      </c>
      <c r="V34" s="32">
        <f>IF(pivots!D76&lt;&gt;0,pivots!D76,"")</f>
        <v>1214</v>
      </c>
      <c r="W34" s="32">
        <f>IF(pivots!E76&lt;&gt;0,pivots!E76,"")</f>
        <v>1135</v>
      </c>
      <c r="X34" s="32">
        <f>IF(pivots!F76&lt;&gt;0,pivots!F76,"")</f>
        <v>1566</v>
      </c>
      <c r="Y34" s="32">
        <f>IF(pivots!G76&lt;&gt;0,pivots!G76,"")</f>
        <v>6601</v>
      </c>
      <c r="Z34" s="24"/>
    </row>
    <row r="35" spans="1:26" ht="15">
      <c r="A35" s="24"/>
      <c r="B35" s="24"/>
      <c r="C35" s="24"/>
      <c r="D35" s="24"/>
      <c r="E35" s="24"/>
      <c r="F35" s="24"/>
      <c r="G35" s="24"/>
      <c r="H35" s="24"/>
      <c r="I35" s="24"/>
      <c r="J35" s="24"/>
      <c r="K35" s="24"/>
      <c r="L35" s="24"/>
      <c r="M35" s="24"/>
      <c r="N35" s="24"/>
      <c r="O35" s="24"/>
      <c r="P35" s="24"/>
      <c r="Q35" s="24"/>
      <c r="R35" s="24"/>
      <c r="S35" s="31" t="str">
        <f>IF(pivots!A77&lt;&gt;0,pivots!A77,"")</f>
        <v>C0014</v>
      </c>
      <c r="T35" s="32">
        <f>IF(pivots!B77&lt;&gt;0,pivots!B77,"")</f>
        <v>1362</v>
      </c>
      <c r="U35" s="32">
        <f>IF(pivots!C77&lt;&gt;0,pivots!C77,"")</f>
        <v>1363</v>
      </c>
      <c r="V35" s="32">
        <f>IF(pivots!D77&lt;&gt;0,pivots!D77,"")</f>
        <v>1152</v>
      </c>
      <c r="W35" s="32">
        <f>IF(pivots!E77&lt;&gt;0,pivots!E77,"")</f>
        <v>777</v>
      </c>
      <c r="X35" s="32">
        <f>IF(pivots!F77&lt;&gt;0,pivots!F77,"")</f>
        <v>750</v>
      </c>
      <c r="Y35" s="32">
        <f>IF(pivots!G77&lt;&gt;0,pivots!G77,"")</f>
        <v>5404</v>
      </c>
      <c r="Z35" s="24"/>
    </row>
    <row r="36" spans="1:26" ht="15">
      <c r="A36" s="24"/>
      <c r="B36" s="24"/>
      <c r="C36" s="24"/>
      <c r="D36" s="24"/>
      <c r="E36" s="24"/>
      <c r="F36" s="24"/>
      <c r="G36" s="24"/>
      <c r="H36" s="24"/>
      <c r="I36" s="24"/>
      <c r="J36" s="24"/>
      <c r="K36" s="24"/>
      <c r="L36" s="24"/>
      <c r="M36" s="24"/>
      <c r="N36" s="24"/>
      <c r="O36" s="24"/>
      <c r="P36" s="24"/>
      <c r="Q36" s="24"/>
      <c r="R36" s="24"/>
      <c r="S36" s="31" t="str">
        <f>IF(pivots!A78&lt;&gt;0,pivots!A78,"")</f>
        <v>Grand Total</v>
      </c>
      <c r="T36" s="32">
        <f>IF(pivots!B78&lt;&gt;0,pivots!B78,"")</f>
        <v>18415</v>
      </c>
      <c r="U36" s="32">
        <f>IF(pivots!C78&lt;&gt;0,pivots!C78,"")</f>
        <v>20581</v>
      </c>
      <c r="V36" s="32">
        <f>IF(pivots!D78&lt;&gt;0,pivots!D78,"")</f>
        <v>20872</v>
      </c>
      <c r="W36" s="32">
        <f>IF(pivots!E78&lt;&gt;0,pivots!E78,"")</f>
        <v>16651</v>
      </c>
      <c r="X36" s="32">
        <f>IF(pivots!F78&lt;&gt;0,pivots!F78,"")</f>
        <v>20104</v>
      </c>
      <c r="Y36" s="32">
        <f>IF(pivots!G78&lt;&gt;0,pivots!G78,"")</f>
        <v>96623</v>
      </c>
      <c r="Z36" s="24"/>
    </row>
    <row r="37" spans="1:26">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sheetData>
  <conditionalFormatting sqref="T17">
    <cfRule type="cellIs" dxfId="5" priority="4" operator="equal">
      <formula>$A$50</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ellIs" priority="3" operator="equal" id="{170D4E59-DB99-4E04-A6D7-5EEBFEC6A8B7}">
            <xm:f>$T$17:$X$17=pivots!$A$50</xm:f>
            <x14:dxf>
              <fill>
                <patternFill>
                  <bgColor theme="4"/>
                </patternFill>
              </fill>
            </x14:dxf>
          </x14:cfRule>
          <x14:cfRule type="expression" priority="2" id="{B072BCE7-376A-4D05-94E7-1EF66A7C012E}">
            <xm:f>T$17=pivots!$A$50</xm:f>
            <x14:dxf>
              <font>
                <b/>
                <i val="0"/>
                <color theme="0"/>
              </font>
              <fill>
                <patternFill>
                  <bgColor theme="4" tint="-0.24994659260841701"/>
                </patternFill>
              </fill>
            </x14:dxf>
          </x14:cfRule>
          <xm:sqref>T17:X17</xm:sqref>
        </x14:conditionalFormatting>
        <x14:conditionalFormatting xmlns:xm="http://schemas.microsoft.com/office/excel/2006/main">
          <x14:cfRule type="expression" priority="1" id="{1BC4C54A-A568-415B-B033-277DE5DD7A31}">
            <xm:f>T$17=pivots!$A$50</xm:f>
            <x14:dxf>
              <font>
                <b/>
                <i val="0"/>
                <color theme="0"/>
              </font>
              <fill>
                <patternFill>
                  <bgColor theme="4"/>
                </patternFill>
              </fill>
            </x14:dxf>
          </x14:cfRule>
          <xm:sqref>T17:X36</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8A7E1-E529-4CD4-A786-54425364B7C2}">
  <dimension ref="A3:I78"/>
  <sheetViews>
    <sheetView topLeftCell="A25" zoomScaleNormal="100" workbookViewId="0">
      <selection activeCell="A36" sqref="A36"/>
    </sheetView>
  </sheetViews>
  <sheetFormatPr defaultRowHeight="14.25"/>
  <cols>
    <col min="1" max="1" width="13.125" bestFit="1" customWidth="1"/>
    <col min="2" max="2" width="20.25" bestFit="1" customWidth="1"/>
    <col min="3" max="3" width="10.25" bestFit="1" customWidth="1"/>
    <col min="4" max="4" width="7.125" bestFit="1" customWidth="1"/>
    <col min="5" max="5" width="13.125" bestFit="1" customWidth="1"/>
    <col min="6" max="6" width="20.25" bestFit="1" customWidth="1"/>
    <col min="7" max="7" width="11.375" bestFit="1" customWidth="1"/>
  </cols>
  <sheetData>
    <row r="3" spans="1:6">
      <c r="A3" t="s">
        <v>1044</v>
      </c>
      <c r="B3" t="s">
        <v>1043</v>
      </c>
      <c r="C3" t="s">
        <v>1045</v>
      </c>
      <c r="D3" t="s">
        <v>1046</v>
      </c>
      <c r="E3" t="s">
        <v>1047</v>
      </c>
      <c r="F3" t="s">
        <v>1048</v>
      </c>
    </row>
    <row r="4" spans="1:6">
      <c r="A4" s="26">
        <v>1000</v>
      </c>
      <c r="B4" s="29">
        <v>96623</v>
      </c>
      <c r="C4" s="26">
        <v>89850</v>
      </c>
      <c r="D4" s="23">
        <v>3.964</v>
      </c>
      <c r="E4" s="27">
        <v>307</v>
      </c>
      <c r="F4" s="25">
        <v>96.623000000000005</v>
      </c>
    </row>
    <row r="9" spans="1:6">
      <c r="A9" t="s">
        <v>1044</v>
      </c>
      <c r="B9" t="s">
        <v>1043</v>
      </c>
      <c r="C9" t="s">
        <v>1045</v>
      </c>
      <c r="D9" t="s">
        <v>1046</v>
      </c>
      <c r="E9" t="s">
        <v>1047</v>
      </c>
      <c r="F9" t="s">
        <v>1048</v>
      </c>
    </row>
    <row r="10" spans="1:6">
      <c r="A10" s="26">
        <v>1000</v>
      </c>
      <c r="B10" s="29">
        <v>96623</v>
      </c>
      <c r="C10" s="26">
        <v>89850</v>
      </c>
      <c r="D10" s="23">
        <v>3.964</v>
      </c>
      <c r="E10" s="27">
        <v>307</v>
      </c>
      <c r="F10" s="25">
        <v>96.623000000000005</v>
      </c>
    </row>
    <row r="15" spans="1:6">
      <c r="A15" s="20" t="s">
        <v>1040</v>
      </c>
      <c r="B15" t="s">
        <v>1042</v>
      </c>
      <c r="C15" t="s">
        <v>1044</v>
      </c>
      <c r="E15" s="20" t="s">
        <v>1040</v>
      </c>
      <c r="F15" t="s">
        <v>1044</v>
      </c>
    </row>
    <row r="16" spans="1:6">
      <c r="A16" s="21" t="s">
        <v>1049</v>
      </c>
      <c r="B16" s="22">
        <v>79</v>
      </c>
      <c r="C16" s="26">
        <v>79</v>
      </c>
      <c r="E16" s="21" t="s">
        <v>1064</v>
      </c>
      <c r="F16" s="26">
        <v>146</v>
      </c>
    </row>
    <row r="17" spans="1:6">
      <c r="A17" s="21" t="s">
        <v>1050</v>
      </c>
      <c r="B17" s="22">
        <v>66</v>
      </c>
      <c r="C17" s="26">
        <v>66</v>
      </c>
      <c r="E17" s="21" t="s">
        <v>1063</v>
      </c>
      <c r="F17" s="26">
        <v>161</v>
      </c>
    </row>
    <row r="18" spans="1:6">
      <c r="A18" s="21" t="s">
        <v>1051</v>
      </c>
      <c r="B18" s="22">
        <v>155</v>
      </c>
      <c r="C18" s="26">
        <v>155</v>
      </c>
      <c r="E18" s="21" t="s">
        <v>1061</v>
      </c>
      <c r="F18" s="26">
        <v>141</v>
      </c>
    </row>
    <row r="19" spans="1:6">
      <c r="A19" s="21" t="s">
        <v>1052</v>
      </c>
      <c r="B19" s="22">
        <v>136</v>
      </c>
      <c r="C19" s="26">
        <v>136</v>
      </c>
      <c r="E19" s="21" t="s">
        <v>1065</v>
      </c>
      <c r="F19" s="26">
        <v>128</v>
      </c>
    </row>
    <row r="20" spans="1:6">
      <c r="A20" s="21" t="s">
        <v>1053</v>
      </c>
      <c r="B20" s="22">
        <v>83</v>
      </c>
      <c r="C20" s="26">
        <v>83</v>
      </c>
      <c r="E20" s="21" t="s">
        <v>1067</v>
      </c>
      <c r="F20" s="26">
        <v>153</v>
      </c>
    </row>
    <row r="21" spans="1:6">
      <c r="A21" s="21" t="s">
        <v>1054</v>
      </c>
      <c r="B21" s="22">
        <v>67</v>
      </c>
      <c r="C21" s="26">
        <v>67</v>
      </c>
      <c r="E21" s="21" t="s">
        <v>1066</v>
      </c>
      <c r="F21" s="26">
        <v>138</v>
      </c>
    </row>
    <row r="22" spans="1:6">
      <c r="A22" s="21" t="s">
        <v>1055</v>
      </c>
      <c r="B22" s="22">
        <v>64</v>
      </c>
      <c r="C22" s="26">
        <v>64</v>
      </c>
      <c r="E22" s="21" t="s">
        <v>1062</v>
      </c>
      <c r="F22" s="26">
        <v>133</v>
      </c>
    </row>
    <row r="23" spans="1:6">
      <c r="A23" s="21" t="s">
        <v>1056</v>
      </c>
      <c r="B23" s="22">
        <v>50</v>
      </c>
      <c r="C23" s="26">
        <v>50</v>
      </c>
      <c r="E23" s="21" t="s">
        <v>1041</v>
      </c>
      <c r="F23" s="26">
        <v>1000</v>
      </c>
    </row>
    <row r="24" spans="1:6">
      <c r="A24" s="21" t="s">
        <v>1057</v>
      </c>
      <c r="B24" s="22">
        <v>76</v>
      </c>
      <c r="C24" s="26">
        <v>76</v>
      </c>
    </row>
    <row r="25" spans="1:6">
      <c r="A25" s="21" t="s">
        <v>1058</v>
      </c>
      <c r="B25" s="22">
        <v>114</v>
      </c>
      <c r="C25" s="26">
        <v>114</v>
      </c>
    </row>
    <row r="26" spans="1:6">
      <c r="A26" s="21" t="s">
        <v>1059</v>
      </c>
      <c r="B26" s="22">
        <v>57</v>
      </c>
      <c r="C26" s="26">
        <v>57</v>
      </c>
      <c r="E26" s="20" t="s">
        <v>1040</v>
      </c>
      <c r="F26" t="s">
        <v>1042</v>
      </c>
    </row>
    <row r="27" spans="1:6">
      <c r="A27" s="21" t="s">
        <v>1060</v>
      </c>
      <c r="B27" s="22">
        <v>53</v>
      </c>
      <c r="C27" s="26">
        <v>53</v>
      </c>
      <c r="E27" s="21">
        <v>0</v>
      </c>
      <c r="F27" s="22">
        <v>1</v>
      </c>
    </row>
    <row r="28" spans="1:6">
      <c r="A28" s="21" t="s">
        <v>1041</v>
      </c>
      <c r="B28" s="22">
        <v>1000</v>
      </c>
      <c r="C28" s="26">
        <v>1000</v>
      </c>
      <c r="E28" s="21">
        <v>1</v>
      </c>
      <c r="F28" s="22">
        <v>8</v>
      </c>
    </row>
    <row r="29" spans="1:6">
      <c r="E29" s="21">
        <v>2</v>
      </c>
      <c r="F29" s="22">
        <v>59</v>
      </c>
    </row>
    <row r="30" spans="1:6">
      <c r="E30" s="21">
        <v>3</v>
      </c>
      <c r="F30" s="22">
        <v>197</v>
      </c>
    </row>
    <row r="31" spans="1:6">
      <c r="E31" s="21">
        <v>4</v>
      </c>
      <c r="F31" s="22">
        <v>428</v>
      </c>
    </row>
    <row r="32" spans="1:6">
      <c r="E32" s="21">
        <v>5</v>
      </c>
      <c r="F32" s="22">
        <v>307</v>
      </c>
    </row>
    <row r="33" spans="1:9">
      <c r="A33" s="20" t="s">
        <v>1071</v>
      </c>
      <c r="B33" s="20" t="s">
        <v>1068</v>
      </c>
      <c r="E33" s="21" t="s">
        <v>1041</v>
      </c>
      <c r="F33" s="22">
        <v>1000</v>
      </c>
    </row>
    <row r="34" spans="1:9">
      <c r="A34" s="20" t="s">
        <v>1040</v>
      </c>
      <c r="B34" t="s">
        <v>999</v>
      </c>
      <c r="C34" t="s">
        <v>998</v>
      </c>
      <c r="D34" t="s">
        <v>1041</v>
      </c>
    </row>
    <row r="35" spans="1:9">
      <c r="A35" s="21" t="s">
        <v>1002</v>
      </c>
      <c r="B35" s="22">
        <v>144</v>
      </c>
      <c r="C35" s="22">
        <v>132</v>
      </c>
      <c r="D35" s="22">
        <v>276</v>
      </c>
    </row>
    <row r="36" spans="1:9">
      <c r="A36" s="21" t="s">
        <v>1001</v>
      </c>
      <c r="B36" s="22">
        <v>326</v>
      </c>
      <c r="C36" s="22">
        <v>63</v>
      </c>
      <c r="D36" s="22">
        <v>389</v>
      </c>
    </row>
    <row r="37" spans="1:9">
      <c r="A37" s="21" t="s">
        <v>1000</v>
      </c>
      <c r="B37" s="22">
        <v>129</v>
      </c>
      <c r="C37" s="22">
        <v>206</v>
      </c>
      <c r="D37" s="22">
        <v>335</v>
      </c>
    </row>
    <row r="38" spans="1:9">
      <c r="A38" s="21" t="s">
        <v>1041</v>
      </c>
      <c r="B38" s="22">
        <v>599</v>
      </c>
      <c r="C38" s="22">
        <v>401</v>
      </c>
      <c r="D38" s="22">
        <v>1000</v>
      </c>
    </row>
    <row r="41" spans="1:9">
      <c r="E41" t="s">
        <v>1070</v>
      </c>
      <c r="H41" t="s">
        <v>1069</v>
      </c>
    </row>
    <row r="42" spans="1:9">
      <c r="A42" s="20" t="s">
        <v>1040</v>
      </c>
      <c r="B42" t="s">
        <v>1044</v>
      </c>
      <c r="C42" t="s">
        <v>1043</v>
      </c>
      <c r="H42" t="str">
        <f>A50</f>
        <v>R01</v>
      </c>
    </row>
    <row r="43" spans="1:9">
      <c r="A43" s="21" t="s">
        <v>11</v>
      </c>
      <c r="B43" s="26">
        <v>189</v>
      </c>
      <c r="C43" s="25">
        <v>18415</v>
      </c>
      <c r="E43" t="str">
        <f>A43</f>
        <v>R01</v>
      </c>
      <c r="F43">
        <f t="shared" ref="F43:G43" si="0">B43</f>
        <v>189</v>
      </c>
      <c r="G43">
        <f t="shared" si="0"/>
        <v>18415</v>
      </c>
      <c r="H43">
        <f>IF($H$42=$E43,F43,"")</f>
        <v>189</v>
      </c>
      <c r="I43">
        <f>IF($H$42=$E43,G43,"")</f>
        <v>18415</v>
      </c>
    </row>
    <row r="44" spans="1:9">
      <c r="A44" s="21" t="s">
        <v>9</v>
      </c>
      <c r="B44" s="26">
        <v>218</v>
      </c>
      <c r="C44" s="25">
        <v>20581</v>
      </c>
      <c r="E44" t="str">
        <f t="shared" ref="E44:E47" si="1">A44</f>
        <v>R02</v>
      </c>
      <c r="F44">
        <f t="shared" ref="F44:F47" si="2">B44</f>
        <v>218</v>
      </c>
      <c r="G44">
        <f t="shared" ref="G44:G47" si="3">C44</f>
        <v>20581</v>
      </c>
      <c r="H44" t="str">
        <f t="shared" ref="H44:I47" si="4">IF($H$42=$E44,F44,"")</f>
        <v/>
      </c>
      <c r="I44" t="str">
        <f t="shared" si="4"/>
        <v/>
      </c>
    </row>
    <row r="45" spans="1:9">
      <c r="A45" s="21" t="s">
        <v>6</v>
      </c>
      <c r="B45" s="26">
        <v>207</v>
      </c>
      <c r="C45" s="25">
        <v>20872</v>
      </c>
      <c r="E45" t="str">
        <f t="shared" si="1"/>
        <v>R03</v>
      </c>
      <c r="F45">
        <f t="shared" si="2"/>
        <v>207</v>
      </c>
      <c r="G45">
        <f t="shared" si="3"/>
        <v>20872</v>
      </c>
      <c r="H45" t="str">
        <f t="shared" si="4"/>
        <v/>
      </c>
      <c r="I45" t="str">
        <f t="shared" si="4"/>
        <v/>
      </c>
    </row>
    <row r="46" spans="1:9">
      <c r="A46" s="21" t="s">
        <v>13</v>
      </c>
      <c r="B46" s="26">
        <v>186</v>
      </c>
      <c r="C46" s="25">
        <v>16651</v>
      </c>
      <c r="E46" t="str">
        <f t="shared" si="1"/>
        <v>R04</v>
      </c>
      <c r="F46">
        <f t="shared" si="2"/>
        <v>186</v>
      </c>
      <c r="G46">
        <f t="shared" si="3"/>
        <v>16651</v>
      </c>
      <c r="H46" t="str">
        <f t="shared" si="4"/>
        <v/>
      </c>
      <c r="I46" t="str">
        <f t="shared" si="4"/>
        <v/>
      </c>
    </row>
    <row r="47" spans="1:9">
      <c r="A47" s="21" t="s">
        <v>10</v>
      </c>
      <c r="B47" s="26">
        <v>200</v>
      </c>
      <c r="C47" s="25">
        <v>20104</v>
      </c>
      <c r="E47" t="str">
        <f t="shared" si="1"/>
        <v>R05</v>
      </c>
      <c r="F47">
        <f t="shared" si="2"/>
        <v>200</v>
      </c>
      <c r="G47">
        <f t="shared" si="3"/>
        <v>20104</v>
      </c>
      <c r="H47" t="str">
        <f t="shared" si="4"/>
        <v/>
      </c>
      <c r="I47" t="str">
        <f t="shared" si="4"/>
        <v/>
      </c>
    </row>
    <row r="49" spans="1:7">
      <c r="A49" s="20" t="s">
        <v>1040</v>
      </c>
    </row>
    <row r="50" spans="1:7">
      <c r="A50" s="21" t="s">
        <v>11</v>
      </c>
    </row>
    <row r="51" spans="1:7">
      <c r="A51" s="21" t="s">
        <v>9</v>
      </c>
    </row>
    <row r="52" spans="1:7">
      <c r="A52" s="21" t="s">
        <v>6</v>
      </c>
    </row>
    <row r="53" spans="1:7">
      <c r="A53" s="21" t="s">
        <v>13</v>
      </c>
    </row>
    <row r="54" spans="1:7">
      <c r="A54" s="21" t="s">
        <v>10</v>
      </c>
    </row>
    <row r="55" spans="1:7">
      <c r="A55" s="21" t="s">
        <v>1041</v>
      </c>
    </row>
    <row r="58" spans="1:7">
      <c r="A58" s="20" t="s">
        <v>1043</v>
      </c>
      <c r="B58" s="20" t="s">
        <v>1068</v>
      </c>
    </row>
    <row r="59" spans="1:7">
      <c r="A59" s="20" t="s">
        <v>1040</v>
      </c>
      <c r="B59" t="s">
        <v>11</v>
      </c>
      <c r="C59" t="s">
        <v>9</v>
      </c>
      <c r="D59" t="s">
        <v>6</v>
      </c>
      <c r="E59" t="s">
        <v>13</v>
      </c>
      <c r="F59" t="s">
        <v>10</v>
      </c>
      <c r="G59" t="s">
        <v>1041</v>
      </c>
    </row>
    <row r="60" spans="1:7">
      <c r="A60" s="21" t="s">
        <v>1002</v>
      </c>
      <c r="B60" s="22"/>
      <c r="C60" s="22"/>
      <c r="D60" s="22"/>
      <c r="E60" s="22"/>
      <c r="F60" s="22"/>
      <c r="G60" s="22"/>
    </row>
    <row r="61" spans="1:7">
      <c r="A61" s="30" t="s">
        <v>20</v>
      </c>
      <c r="B61" s="25">
        <v>891</v>
      </c>
      <c r="C61" s="25">
        <v>1332</v>
      </c>
      <c r="D61" s="25">
        <v>1282</v>
      </c>
      <c r="E61" s="25">
        <v>739</v>
      </c>
      <c r="F61" s="25">
        <v>560</v>
      </c>
      <c r="G61" s="25">
        <v>4804</v>
      </c>
    </row>
    <row r="62" spans="1:7">
      <c r="A62" s="30" t="s">
        <v>12</v>
      </c>
      <c r="B62" s="25">
        <v>1991</v>
      </c>
      <c r="C62" s="25">
        <v>1886</v>
      </c>
      <c r="D62" s="25">
        <v>1206</v>
      </c>
      <c r="E62" s="25">
        <v>884</v>
      </c>
      <c r="F62" s="25">
        <v>1722</v>
      </c>
      <c r="G62" s="25">
        <v>7689</v>
      </c>
    </row>
    <row r="63" spans="1:7">
      <c r="A63" s="30" t="s">
        <v>8</v>
      </c>
      <c r="B63" s="25">
        <v>1163</v>
      </c>
      <c r="C63" s="25">
        <v>1180</v>
      </c>
      <c r="D63" s="25">
        <v>1616</v>
      </c>
      <c r="E63" s="25">
        <v>1043</v>
      </c>
      <c r="F63" s="25">
        <v>1747</v>
      </c>
      <c r="G63" s="25">
        <v>6749</v>
      </c>
    </row>
    <row r="64" spans="1:7">
      <c r="A64" s="30" t="s">
        <v>16</v>
      </c>
      <c r="B64" s="25">
        <v>1438</v>
      </c>
      <c r="C64" s="25">
        <v>1616</v>
      </c>
      <c r="D64" s="25">
        <v>866</v>
      </c>
      <c r="E64" s="25">
        <v>829</v>
      </c>
      <c r="F64" s="25">
        <v>2070</v>
      </c>
      <c r="G64" s="25">
        <v>6819</v>
      </c>
    </row>
    <row r="65" spans="1:7">
      <c r="A65" s="21" t="s">
        <v>1001</v>
      </c>
      <c r="B65" s="22"/>
      <c r="C65" s="22"/>
      <c r="D65" s="22"/>
      <c r="E65" s="22"/>
      <c r="F65" s="22"/>
      <c r="G65" s="22"/>
    </row>
    <row r="66" spans="1:7">
      <c r="A66" s="30" t="s">
        <v>24</v>
      </c>
      <c r="B66" s="25">
        <v>1233</v>
      </c>
      <c r="C66" s="25">
        <v>223</v>
      </c>
      <c r="D66" s="25">
        <v>1680</v>
      </c>
      <c r="E66" s="25">
        <v>990</v>
      </c>
      <c r="F66" s="25">
        <v>1508</v>
      </c>
      <c r="G66" s="25">
        <v>5634</v>
      </c>
    </row>
    <row r="67" spans="1:7">
      <c r="A67" s="30" t="s">
        <v>15</v>
      </c>
      <c r="B67" s="25">
        <v>1598</v>
      </c>
      <c r="C67" s="25">
        <v>1907</v>
      </c>
      <c r="D67" s="25">
        <v>869</v>
      </c>
      <c r="E67" s="25">
        <v>1426</v>
      </c>
      <c r="F67" s="25">
        <v>1416</v>
      </c>
      <c r="G67" s="25">
        <v>7216</v>
      </c>
    </row>
    <row r="68" spans="1:7">
      <c r="A68" s="30" t="s">
        <v>5</v>
      </c>
      <c r="B68" s="25">
        <v>900</v>
      </c>
      <c r="C68" s="25">
        <v>1016</v>
      </c>
      <c r="D68" s="25">
        <v>960</v>
      </c>
      <c r="E68" s="25">
        <v>940</v>
      </c>
      <c r="F68" s="25">
        <v>1193</v>
      </c>
      <c r="G68" s="25">
        <v>5009</v>
      </c>
    </row>
    <row r="69" spans="1:7">
      <c r="A69" s="30" t="s">
        <v>18</v>
      </c>
      <c r="B69" s="25">
        <v>900</v>
      </c>
      <c r="C69" s="25">
        <v>1470</v>
      </c>
      <c r="D69" s="25">
        <v>1617</v>
      </c>
      <c r="E69" s="25">
        <v>1314</v>
      </c>
      <c r="F69" s="25">
        <v>941</v>
      </c>
      <c r="G69" s="25">
        <v>6242</v>
      </c>
    </row>
    <row r="70" spans="1:7">
      <c r="A70" s="30" t="s">
        <v>14</v>
      </c>
      <c r="B70" s="25">
        <v>1255</v>
      </c>
      <c r="C70" s="25">
        <v>516</v>
      </c>
      <c r="D70" s="25">
        <v>1874</v>
      </c>
      <c r="E70" s="25">
        <v>1863</v>
      </c>
      <c r="F70" s="25">
        <v>1722</v>
      </c>
      <c r="G70" s="25">
        <v>7230</v>
      </c>
    </row>
    <row r="71" spans="1:7">
      <c r="A71" s="30" t="s">
        <v>19</v>
      </c>
      <c r="B71" s="25">
        <v>1138</v>
      </c>
      <c r="C71" s="25">
        <v>1898</v>
      </c>
      <c r="D71" s="25">
        <v>1482</v>
      </c>
      <c r="E71" s="25">
        <v>846</v>
      </c>
      <c r="F71" s="25">
        <v>1154</v>
      </c>
      <c r="G71" s="25">
        <v>6518</v>
      </c>
    </row>
    <row r="72" spans="1:7">
      <c r="A72" s="21" t="s">
        <v>1000</v>
      </c>
      <c r="B72" s="22"/>
      <c r="C72" s="22"/>
      <c r="D72" s="22"/>
      <c r="E72" s="22"/>
      <c r="F72" s="22"/>
      <c r="G72" s="22"/>
    </row>
    <row r="73" spans="1:7">
      <c r="A73" s="30" t="s">
        <v>17</v>
      </c>
      <c r="B73" s="25">
        <v>1655</v>
      </c>
      <c r="C73" s="25">
        <v>805</v>
      </c>
      <c r="D73" s="25">
        <v>2263</v>
      </c>
      <c r="E73" s="25">
        <v>987</v>
      </c>
      <c r="F73" s="25">
        <v>1075</v>
      </c>
      <c r="G73" s="25">
        <v>6785</v>
      </c>
    </row>
    <row r="74" spans="1:7">
      <c r="A74" s="30" t="s">
        <v>23</v>
      </c>
      <c r="B74" s="25">
        <v>1104</v>
      </c>
      <c r="C74" s="25">
        <v>2280</v>
      </c>
      <c r="D74" s="25">
        <v>1445</v>
      </c>
      <c r="E74" s="25">
        <v>1722</v>
      </c>
      <c r="F74" s="25">
        <v>1196</v>
      </c>
      <c r="G74" s="25">
        <v>7747</v>
      </c>
    </row>
    <row r="75" spans="1:7">
      <c r="A75" s="30" t="s">
        <v>7</v>
      </c>
      <c r="B75" s="25">
        <v>372</v>
      </c>
      <c r="C75" s="25">
        <v>1818</v>
      </c>
      <c r="D75" s="25">
        <v>1346</v>
      </c>
      <c r="E75" s="25">
        <v>1156</v>
      </c>
      <c r="F75" s="25">
        <v>1484</v>
      </c>
      <c r="G75" s="25">
        <v>6176</v>
      </c>
    </row>
    <row r="76" spans="1:7">
      <c r="A76" s="30" t="s">
        <v>22</v>
      </c>
      <c r="B76" s="25">
        <v>1415</v>
      </c>
      <c r="C76" s="25">
        <v>1271</v>
      </c>
      <c r="D76" s="25">
        <v>1214</v>
      </c>
      <c r="E76" s="25">
        <v>1135</v>
      </c>
      <c r="F76" s="25">
        <v>1566</v>
      </c>
      <c r="G76" s="25">
        <v>6601</v>
      </c>
    </row>
    <row r="77" spans="1:7">
      <c r="A77" s="30" t="s">
        <v>21</v>
      </c>
      <c r="B77" s="25">
        <v>1362</v>
      </c>
      <c r="C77" s="25">
        <v>1363</v>
      </c>
      <c r="D77" s="25">
        <v>1152</v>
      </c>
      <c r="E77" s="25">
        <v>777</v>
      </c>
      <c r="F77" s="25">
        <v>750</v>
      </c>
      <c r="G77" s="25">
        <v>5404</v>
      </c>
    </row>
    <row r="78" spans="1:7">
      <c r="A78" s="21" t="s">
        <v>1041</v>
      </c>
      <c r="B78" s="25">
        <v>18415</v>
      </c>
      <c r="C78" s="25">
        <v>20581</v>
      </c>
      <c r="D78" s="25">
        <v>20872</v>
      </c>
      <c r="E78" s="25">
        <v>16651</v>
      </c>
      <c r="F78" s="25">
        <v>20104</v>
      </c>
      <c r="G78" s="25">
        <v>96623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zoomScale="60" zoomScaleNormal="60" workbookViewId="0"/>
  </sheetViews>
  <sheetFormatPr defaultRowHeight="14.25"/>
  <cols>
    <col min="1" max="1" width="3.25" customWidth="1"/>
    <col min="2" max="2" width="24" bestFit="1" customWidth="1"/>
    <col min="3" max="3" width="13.875" bestFit="1" customWidth="1"/>
    <col min="4" max="4" width="8.5" bestFit="1" customWidth="1"/>
    <col min="5" max="5" width="18.75" bestFit="1" customWidth="1"/>
    <col min="6" max="6" width="15.125" bestFit="1" customWidth="1"/>
    <col min="7" max="7" width="18.5" bestFit="1" customWidth="1"/>
    <col min="8" max="8" width="19.75" bestFit="1" customWidth="1"/>
    <col min="9" max="9" width="15.5" bestFit="1" customWidth="1"/>
    <col min="10" max="10" width="13.5" bestFit="1" customWidth="1"/>
    <col min="11" max="11" width="17.375" bestFit="1" customWidth="1"/>
    <col min="12" max="12" width="16.75" bestFit="1" customWidth="1"/>
    <col min="13" max="16" width="7.5" customWidth="1"/>
    <col min="17" max="17" width="13.875" bestFit="1" customWidth="1"/>
    <col min="18" max="18" width="9.625" bestFit="1" customWidth="1"/>
    <col min="19" max="19" width="6.25" bestFit="1" customWidth="1"/>
    <col min="20" max="20" width="9.25" bestFit="1" customWidth="1"/>
  </cols>
  <sheetData>
    <row r="1" spans="2:20" s="4" customFormat="1" ht="48" customHeight="1">
      <c r="B1" s="5" t="s">
        <v>1003</v>
      </c>
    </row>
    <row r="2" spans="2:20">
      <c r="R2" s="1"/>
    </row>
    <row r="3" spans="2:20" ht="15">
      <c r="B3" s="14" t="s">
        <v>25</v>
      </c>
      <c r="C3" s="14" t="s">
        <v>0</v>
      </c>
      <c r="D3" s="15" t="s">
        <v>1</v>
      </c>
      <c r="E3" s="16" t="s">
        <v>3</v>
      </c>
      <c r="F3" s="16" t="s">
        <v>4</v>
      </c>
      <c r="G3" s="14" t="s">
        <v>2</v>
      </c>
      <c r="H3" s="14" t="s">
        <v>994</v>
      </c>
      <c r="I3" t="s">
        <v>1039</v>
      </c>
      <c r="J3" t="s">
        <v>1036</v>
      </c>
      <c r="K3" t="s">
        <v>1037</v>
      </c>
      <c r="L3" t="s">
        <v>1038</v>
      </c>
      <c r="Q3" s="8" t="s">
        <v>0</v>
      </c>
      <c r="R3" s="9" t="s">
        <v>995</v>
      </c>
      <c r="S3" s="9" t="s">
        <v>996</v>
      </c>
      <c r="T3" s="10" t="s">
        <v>997</v>
      </c>
    </row>
    <row r="4" spans="2:20">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topLeftCell="A4" zoomScale="115" zoomScaleNormal="115" workbookViewId="0"/>
  </sheetViews>
  <sheetFormatPr defaultRowHeight="14.25"/>
  <cols>
    <col min="5" max="5" width="10.875" customWidth="1"/>
    <col min="6" max="6" width="9.875" customWidth="1"/>
  </cols>
  <sheetData>
    <row r="3" ht="25.5" customHeight="1"/>
    <row r="4" ht="25.5" customHeight="1"/>
    <row r="5" ht="25.5" customHeight="1"/>
    <row r="6" ht="25.5" customHeight="1"/>
    <row r="7" ht="25.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pivots</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lenovo</cp:lastModifiedBy>
  <dcterms:created xsi:type="dcterms:W3CDTF">2021-03-14T20:21:32Z</dcterms:created>
  <dcterms:modified xsi:type="dcterms:W3CDTF">2026-03-24T18:23:15Z</dcterms:modified>
</cp:coreProperties>
</file>